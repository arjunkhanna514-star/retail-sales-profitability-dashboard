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183B960-B8FB-4A82-A60C-D2FFF81A3A05}" xr6:coauthVersionLast="47" xr6:coauthVersionMax="47" xr10:uidLastSave="{00000000-0000-0000-0000-000000000000}"/>
  <bookViews>
    <workbookView xWindow="-108" yWindow="-108" windowWidth="23256" windowHeight="12456" xr2:uid="{295780C7-24A1-4D17-8182-3E0F8F651C55}"/>
  </bookViews>
  <sheets>
    <sheet name="Raw_Data" sheetId="1" r:id="rId1"/>
    <sheet name="Top_Analysis" sheetId="2" r:id="rId2"/>
    <sheet name="Pivot_Analysis" sheetId="3" r:id="rId3"/>
    <sheet name="Calculations" sheetId="4" r:id="rId4"/>
    <sheet name="Dashboard" sheetId="5" r:id="rId5"/>
    <sheet name="Executive_Summary" sheetId="6" r:id="rId6"/>
  </sheets>
  <definedNames>
    <definedName name="Slicer_Category">""</definedName>
    <definedName name="Slicer_Product">""</definedName>
    <definedName name="Slicer_Region">""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5" l="1"/>
  <c r="B1" i="4"/>
  <c r="B3" i="5" s="1"/>
  <c r="J201" i="1"/>
  <c r="I201" i="1"/>
  <c r="I200" i="1"/>
  <c r="J200" i="1" s="1"/>
  <c r="I199" i="1"/>
  <c r="J199" i="1" s="1"/>
  <c r="I198" i="1"/>
  <c r="J198" i="1" s="1"/>
  <c r="J197" i="1"/>
  <c r="I197" i="1"/>
  <c r="I196" i="1"/>
  <c r="J196" i="1" s="1"/>
  <c r="I195" i="1"/>
  <c r="J195" i="1" s="1"/>
  <c r="I194" i="1"/>
  <c r="J194" i="1" s="1"/>
  <c r="J193" i="1"/>
  <c r="I193" i="1"/>
  <c r="I192" i="1"/>
  <c r="J192" i="1" s="1"/>
  <c r="I191" i="1"/>
  <c r="J191" i="1" s="1"/>
  <c r="I190" i="1"/>
  <c r="J190" i="1" s="1"/>
  <c r="J189" i="1"/>
  <c r="I189" i="1"/>
  <c r="I188" i="1"/>
  <c r="J188" i="1" s="1"/>
  <c r="I187" i="1"/>
  <c r="J187" i="1" s="1"/>
  <c r="I186" i="1"/>
  <c r="J186" i="1" s="1"/>
  <c r="J185" i="1"/>
  <c r="I185" i="1"/>
  <c r="I184" i="1"/>
  <c r="J184" i="1" s="1"/>
  <c r="I183" i="1"/>
  <c r="J183" i="1" s="1"/>
  <c r="I182" i="1"/>
  <c r="J182" i="1" s="1"/>
  <c r="J181" i="1"/>
  <c r="I181" i="1"/>
  <c r="I180" i="1"/>
  <c r="J180" i="1" s="1"/>
  <c r="I179" i="1"/>
  <c r="J179" i="1" s="1"/>
  <c r="I178" i="1"/>
  <c r="J178" i="1" s="1"/>
  <c r="J177" i="1"/>
  <c r="I177" i="1"/>
  <c r="I176" i="1"/>
  <c r="J176" i="1" s="1"/>
  <c r="I175" i="1"/>
  <c r="J175" i="1" s="1"/>
  <c r="I174" i="1"/>
  <c r="J174" i="1" s="1"/>
  <c r="J173" i="1"/>
  <c r="I173" i="1"/>
  <c r="I172" i="1"/>
  <c r="J172" i="1" s="1"/>
  <c r="I171" i="1"/>
  <c r="J171" i="1" s="1"/>
  <c r="I170" i="1"/>
  <c r="J170" i="1" s="1"/>
  <c r="J169" i="1"/>
  <c r="I169" i="1"/>
  <c r="I168" i="1"/>
  <c r="J168" i="1" s="1"/>
  <c r="I167" i="1"/>
  <c r="J167" i="1" s="1"/>
  <c r="I166" i="1"/>
  <c r="J166" i="1" s="1"/>
  <c r="J165" i="1"/>
  <c r="I165" i="1"/>
  <c r="I164" i="1"/>
  <c r="J164" i="1" s="1"/>
  <c r="I163" i="1"/>
  <c r="J163" i="1" s="1"/>
  <c r="I162" i="1"/>
  <c r="J162" i="1" s="1"/>
  <c r="J161" i="1"/>
  <c r="I161" i="1"/>
  <c r="I160" i="1"/>
  <c r="J160" i="1" s="1"/>
  <c r="I159" i="1"/>
  <c r="J159" i="1" s="1"/>
  <c r="I158" i="1"/>
  <c r="J158" i="1" s="1"/>
  <c r="J157" i="1"/>
  <c r="I157" i="1"/>
  <c r="I156" i="1"/>
  <c r="J156" i="1" s="1"/>
  <c r="I155" i="1"/>
  <c r="J155" i="1" s="1"/>
  <c r="I154" i="1"/>
  <c r="J154" i="1" s="1"/>
  <c r="J153" i="1"/>
  <c r="I153" i="1"/>
  <c r="I152" i="1"/>
  <c r="J152" i="1" s="1"/>
  <c r="I151" i="1"/>
  <c r="J151" i="1" s="1"/>
  <c r="I150" i="1"/>
  <c r="J150" i="1" s="1"/>
  <c r="J149" i="1"/>
  <c r="I149" i="1"/>
  <c r="I148" i="1"/>
  <c r="J148" i="1" s="1"/>
  <c r="I147" i="1"/>
  <c r="J147" i="1" s="1"/>
  <c r="I146" i="1"/>
  <c r="J146" i="1" s="1"/>
  <c r="J145" i="1"/>
  <c r="I145" i="1"/>
  <c r="I144" i="1"/>
  <c r="J144" i="1" s="1"/>
  <c r="I143" i="1"/>
  <c r="J143" i="1" s="1"/>
  <c r="I142" i="1"/>
  <c r="J142" i="1" s="1"/>
  <c r="J141" i="1"/>
  <c r="I141" i="1"/>
  <c r="I140" i="1"/>
  <c r="J140" i="1" s="1"/>
  <c r="I139" i="1"/>
  <c r="J139" i="1" s="1"/>
  <c r="I138" i="1"/>
  <c r="J138" i="1" s="1"/>
  <c r="J137" i="1"/>
  <c r="I137" i="1"/>
  <c r="I136" i="1"/>
  <c r="J136" i="1" s="1"/>
  <c r="I135" i="1"/>
  <c r="J135" i="1" s="1"/>
  <c r="I134" i="1"/>
  <c r="J134" i="1" s="1"/>
  <c r="J133" i="1"/>
  <c r="I133" i="1"/>
  <c r="I132" i="1"/>
  <c r="J132" i="1" s="1"/>
  <c r="I131" i="1"/>
  <c r="J131" i="1" s="1"/>
  <c r="I130" i="1"/>
  <c r="J130" i="1" s="1"/>
  <c r="J129" i="1"/>
  <c r="I129" i="1"/>
  <c r="I128" i="1"/>
  <c r="J128" i="1" s="1"/>
  <c r="I127" i="1"/>
  <c r="J127" i="1" s="1"/>
  <c r="I126" i="1"/>
  <c r="J126" i="1" s="1"/>
  <c r="J125" i="1"/>
  <c r="I125" i="1"/>
  <c r="I124" i="1"/>
  <c r="J124" i="1" s="1"/>
  <c r="I123" i="1"/>
  <c r="J123" i="1" s="1"/>
  <c r="I122" i="1"/>
  <c r="J122" i="1" s="1"/>
  <c r="J121" i="1"/>
  <c r="I121" i="1"/>
  <c r="I120" i="1"/>
  <c r="J120" i="1" s="1"/>
  <c r="I119" i="1"/>
  <c r="J119" i="1" s="1"/>
  <c r="I118" i="1"/>
  <c r="J118" i="1" s="1"/>
  <c r="J117" i="1"/>
  <c r="I117" i="1"/>
  <c r="I116" i="1"/>
  <c r="J116" i="1" s="1"/>
  <c r="I115" i="1"/>
  <c r="J115" i="1" s="1"/>
  <c r="I114" i="1"/>
  <c r="J114" i="1" s="1"/>
  <c r="J113" i="1"/>
  <c r="I113" i="1"/>
  <c r="I112" i="1"/>
  <c r="J112" i="1" s="1"/>
  <c r="I111" i="1"/>
  <c r="J111" i="1" s="1"/>
  <c r="I110" i="1"/>
  <c r="J110" i="1" s="1"/>
  <c r="J109" i="1"/>
  <c r="I109" i="1"/>
  <c r="I108" i="1"/>
  <c r="J108" i="1" s="1"/>
  <c r="I107" i="1"/>
  <c r="J107" i="1" s="1"/>
  <c r="I106" i="1"/>
  <c r="J106" i="1" s="1"/>
  <c r="J105" i="1"/>
  <c r="I105" i="1"/>
  <c r="I104" i="1"/>
  <c r="J104" i="1" s="1"/>
  <c r="I103" i="1"/>
  <c r="J103" i="1" s="1"/>
  <c r="I102" i="1"/>
  <c r="J102" i="1" s="1"/>
  <c r="J101" i="1"/>
  <c r="I101" i="1"/>
  <c r="I100" i="1"/>
  <c r="J100" i="1" s="1"/>
  <c r="I99" i="1"/>
  <c r="J99" i="1" s="1"/>
  <c r="I98" i="1"/>
  <c r="J98" i="1" s="1"/>
  <c r="J97" i="1"/>
  <c r="I97" i="1"/>
  <c r="I96" i="1"/>
  <c r="J96" i="1" s="1"/>
  <c r="I95" i="1"/>
  <c r="J95" i="1" s="1"/>
  <c r="I94" i="1"/>
  <c r="J94" i="1" s="1"/>
  <c r="J93" i="1"/>
  <c r="I93" i="1"/>
  <c r="I92" i="1"/>
  <c r="J92" i="1" s="1"/>
  <c r="I91" i="1"/>
  <c r="J91" i="1" s="1"/>
  <c r="I90" i="1"/>
  <c r="J90" i="1" s="1"/>
  <c r="J89" i="1"/>
  <c r="I89" i="1"/>
  <c r="I88" i="1"/>
  <c r="J88" i="1" s="1"/>
  <c r="I87" i="1"/>
  <c r="J87" i="1" s="1"/>
  <c r="I86" i="1"/>
  <c r="J86" i="1" s="1"/>
  <c r="J85" i="1"/>
  <c r="I85" i="1"/>
  <c r="I84" i="1"/>
  <c r="J84" i="1" s="1"/>
  <c r="I83" i="1"/>
  <c r="J83" i="1" s="1"/>
  <c r="I82" i="1"/>
  <c r="J82" i="1" s="1"/>
  <c r="J81" i="1"/>
  <c r="I81" i="1"/>
  <c r="I80" i="1"/>
  <c r="J80" i="1" s="1"/>
  <c r="I79" i="1"/>
  <c r="J79" i="1" s="1"/>
  <c r="I78" i="1"/>
  <c r="J78" i="1" s="1"/>
  <c r="J77" i="1"/>
  <c r="I77" i="1"/>
  <c r="I76" i="1"/>
  <c r="J76" i="1" s="1"/>
  <c r="I75" i="1"/>
  <c r="J75" i="1" s="1"/>
  <c r="I74" i="1"/>
  <c r="J74" i="1" s="1"/>
  <c r="J73" i="1"/>
  <c r="I73" i="1"/>
  <c r="I72" i="1"/>
  <c r="J72" i="1" s="1"/>
  <c r="I71" i="1"/>
  <c r="J71" i="1" s="1"/>
  <c r="I70" i="1"/>
  <c r="J70" i="1" s="1"/>
  <c r="J69" i="1"/>
  <c r="I69" i="1"/>
  <c r="I68" i="1"/>
  <c r="J68" i="1" s="1"/>
  <c r="I67" i="1"/>
  <c r="J67" i="1" s="1"/>
  <c r="I66" i="1"/>
  <c r="J66" i="1" s="1"/>
  <c r="J65" i="1"/>
  <c r="I65" i="1"/>
  <c r="I64" i="1"/>
  <c r="J64" i="1" s="1"/>
  <c r="I63" i="1"/>
  <c r="J63" i="1" s="1"/>
  <c r="I62" i="1"/>
  <c r="J62" i="1" s="1"/>
  <c r="J61" i="1"/>
  <c r="I61" i="1"/>
  <c r="I60" i="1"/>
  <c r="J60" i="1" s="1"/>
  <c r="I59" i="1"/>
  <c r="J59" i="1" s="1"/>
  <c r="I58" i="1"/>
  <c r="J58" i="1" s="1"/>
  <c r="J57" i="1"/>
  <c r="I57" i="1"/>
  <c r="I56" i="1"/>
  <c r="J56" i="1" s="1"/>
  <c r="I55" i="1"/>
  <c r="J55" i="1" s="1"/>
  <c r="I54" i="1"/>
  <c r="J54" i="1" s="1"/>
  <c r="J53" i="1"/>
  <c r="I53" i="1"/>
  <c r="I52" i="1"/>
  <c r="J52" i="1" s="1"/>
  <c r="I51" i="1"/>
  <c r="J51" i="1" s="1"/>
  <c r="I50" i="1"/>
  <c r="J50" i="1" s="1"/>
  <c r="J49" i="1"/>
  <c r="I49" i="1"/>
  <c r="I48" i="1"/>
  <c r="J48" i="1" s="1"/>
  <c r="I47" i="1"/>
  <c r="J47" i="1" s="1"/>
  <c r="I46" i="1"/>
  <c r="J46" i="1" s="1"/>
  <c r="J45" i="1"/>
  <c r="I45" i="1"/>
  <c r="I44" i="1"/>
  <c r="J44" i="1" s="1"/>
  <c r="I43" i="1"/>
  <c r="J43" i="1" s="1"/>
  <c r="I42" i="1"/>
  <c r="J42" i="1" s="1"/>
  <c r="J41" i="1"/>
  <c r="I41" i="1"/>
  <c r="I40" i="1"/>
  <c r="J40" i="1" s="1"/>
  <c r="I39" i="1"/>
  <c r="J39" i="1" s="1"/>
  <c r="I38" i="1"/>
  <c r="J38" i="1" s="1"/>
  <c r="J37" i="1"/>
  <c r="I37" i="1"/>
  <c r="I36" i="1"/>
  <c r="J36" i="1" s="1"/>
  <c r="I35" i="1"/>
  <c r="J35" i="1" s="1"/>
  <c r="I34" i="1"/>
  <c r="J34" i="1" s="1"/>
  <c r="J33" i="1"/>
  <c r="I33" i="1"/>
  <c r="I32" i="1"/>
  <c r="J32" i="1" s="1"/>
  <c r="I31" i="1"/>
  <c r="J31" i="1" s="1"/>
  <c r="I30" i="1"/>
  <c r="J30" i="1" s="1"/>
  <c r="J29" i="1"/>
  <c r="I29" i="1"/>
  <c r="I28" i="1"/>
  <c r="J28" i="1" s="1"/>
  <c r="I27" i="1"/>
  <c r="J27" i="1" s="1"/>
  <c r="I26" i="1"/>
  <c r="J26" i="1" s="1"/>
  <c r="J25" i="1"/>
  <c r="I25" i="1"/>
  <c r="I24" i="1"/>
  <c r="J24" i="1" s="1"/>
  <c r="I23" i="1"/>
  <c r="J23" i="1" s="1"/>
  <c r="I22" i="1"/>
  <c r="J22" i="1" s="1"/>
  <c r="J21" i="1"/>
  <c r="I21" i="1"/>
  <c r="I20" i="1"/>
  <c r="J20" i="1" s="1"/>
  <c r="I19" i="1"/>
  <c r="J19" i="1" s="1"/>
  <c r="I18" i="1"/>
  <c r="J18" i="1" s="1"/>
  <c r="J17" i="1"/>
  <c r="I17" i="1"/>
  <c r="I16" i="1"/>
  <c r="J16" i="1" s="1"/>
  <c r="I15" i="1"/>
  <c r="J15" i="1" s="1"/>
  <c r="I14" i="1"/>
  <c r="J14" i="1" s="1"/>
  <c r="J13" i="1"/>
  <c r="I13" i="1"/>
  <c r="I12" i="1"/>
  <c r="J12" i="1" s="1"/>
  <c r="I11" i="1"/>
  <c r="J11" i="1" s="1"/>
  <c r="I10" i="1"/>
  <c r="J10" i="1" s="1"/>
  <c r="J9" i="1"/>
  <c r="I9" i="1"/>
  <c r="I8" i="1"/>
  <c r="J8" i="1" s="1"/>
  <c r="I7" i="1"/>
  <c r="J7" i="1" s="1"/>
  <c r="I6" i="1"/>
  <c r="J6" i="1" s="1"/>
  <c r="J5" i="1"/>
  <c r="I5" i="1"/>
  <c r="I4" i="1"/>
  <c r="J4" i="1" s="1"/>
  <c r="I3" i="1"/>
  <c r="J3" i="1" s="1"/>
  <c r="I2" i="1"/>
  <c r="B2" i="4" s="1"/>
  <c r="B4" i="5" s="1"/>
  <c r="J2" i="1" l="1"/>
  <c r="B3" i="4" s="1"/>
  <c r="B5" i="5" s="1"/>
</calcChain>
</file>

<file path=xl/sharedStrings.xml><?xml version="1.0" encoding="utf-8"?>
<sst xmlns="http://schemas.openxmlformats.org/spreadsheetml/2006/main" count="681" uniqueCount="41">
  <si>
    <t>Order_ID</t>
  </si>
  <si>
    <t>Date</t>
  </si>
  <si>
    <t>Region</t>
  </si>
  <si>
    <t>Product</t>
  </si>
  <si>
    <t>Category</t>
  </si>
  <si>
    <t>Sales</t>
  </si>
  <si>
    <t>Quantity</t>
  </si>
  <si>
    <t>Cost</t>
  </si>
  <si>
    <t>Profit</t>
  </si>
  <si>
    <t>Profit_Margin</t>
  </si>
  <si>
    <t>North</t>
  </si>
  <si>
    <t>Laptop</t>
  </si>
  <si>
    <t>Technology</t>
  </si>
  <si>
    <t>South</t>
  </si>
  <si>
    <t>Mouse</t>
  </si>
  <si>
    <t>East</t>
  </si>
  <si>
    <t>Keyboard</t>
  </si>
  <si>
    <t>West</t>
  </si>
  <si>
    <t>Monitor</t>
  </si>
  <si>
    <t>Printer</t>
  </si>
  <si>
    <t>Desk</t>
  </si>
  <si>
    <t>Furniture</t>
  </si>
  <si>
    <t>Chair</t>
  </si>
  <si>
    <t>Table</t>
  </si>
  <si>
    <t>Phone</t>
  </si>
  <si>
    <t>Tablet</t>
  </si>
  <si>
    <t>Row Labels</t>
  </si>
  <si>
    <t>Sum of Sales</t>
  </si>
  <si>
    <t>Grand Total</t>
  </si>
  <si>
    <t>Revenue by Region</t>
  </si>
  <si>
    <t>Profit by Product</t>
  </si>
  <si>
    <t>Sum of Profit</t>
  </si>
  <si>
    <t>Monthly Revenue Trend</t>
  </si>
  <si>
    <t>Jan</t>
  </si>
  <si>
    <t>Total Revenue</t>
  </si>
  <si>
    <t>Total Profit</t>
  </si>
  <si>
    <t>Average Profit Margin</t>
  </si>
  <si>
    <t>Retail Sales Performance Dashboard 2025</t>
  </si>
  <si>
    <t>Revenue Contribution by Region</t>
  </si>
  <si>
    <t>Avg Profit Margin</t>
  </si>
  <si>
    <t>Most Profitable Region: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</si>
</sst>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2" x14ac:knownFonts="1"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u/>
      <sz val="28"/>
      <color rgb="FF000000"/>
      <name val="Arial"/>
      <family val="2"/>
    </font>
    <font>
      <sz val="28"/>
      <color rgb="FF000000"/>
      <name val="Calibri"/>
      <family val="2"/>
    </font>
    <font>
      <sz val="18"/>
      <color rgb="FF000000"/>
      <name val="Calibri"/>
      <family val="2"/>
    </font>
    <font>
      <b/>
      <u/>
      <sz val="20"/>
      <color rgb="FF000000"/>
      <name val="Arial"/>
      <family val="2"/>
    </font>
    <font>
      <sz val="20"/>
      <color rgb="FF000000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 style="thin">
        <color rgb="FF999999"/>
      </right>
      <top style="thin">
        <color rgb="FFFFFFFF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2" fillId="0" borderId="0" xfId="0" applyFont="1"/>
    <xf numFmtId="0" fontId="3" fillId="0" borderId="0" xfId="0" applyFont="1"/>
    <xf numFmtId="0" fontId="0" fillId="0" borderId="7" xfId="0" applyBorder="1"/>
    <xf numFmtId="10" fontId="0" fillId="0" borderId="2" xfId="0" applyNumberFormat="1" applyBorder="1"/>
    <xf numFmtId="0" fontId="0" fillId="0" borderId="7" xfId="0" applyBorder="1" applyAlignment="1">
      <alignment horizontal="left"/>
    </xf>
    <xf numFmtId="10" fontId="0" fillId="0" borderId="4" xfId="0" applyNumberFormat="1" applyBorder="1"/>
    <xf numFmtId="10" fontId="0" fillId="0" borderId="6" xfId="0" applyNumberForma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3">
    <cellStyle name="cf1" xfId="1" xr:uid="{F9E82824-E9E5-45B7-9119-9B7B22061C63}"/>
    <cellStyle name="cf2" xfId="2" xr:uid="{4709C1A9-A535-4C69-AD37-06E8CB10F108}"/>
    <cellStyle name="Normal" xfId="0" builtinId="0" customBuiltin="1"/>
  </cellStyles>
  <dxfs count="2"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Total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472C4"/>
            </a:solidFill>
            <a:ln>
              <a:noFill/>
            </a:ln>
          </c:spPr>
          <c:invertIfNegative val="0"/>
          <c:cat>
            <c:strLit>
              <c:ptCount val="10"/>
              <c:pt idx="0">
                <c:v>Chair</c:v>
              </c:pt>
              <c:pt idx="1">
                <c:v>Desk</c:v>
              </c:pt>
              <c:pt idx="2">
                <c:v>Keyboard</c:v>
              </c:pt>
              <c:pt idx="3">
                <c:v>Laptop</c:v>
              </c:pt>
              <c:pt idx="4">
                <c:v>Monitor</c:v>
              </c:pt>
              <c:pt idx="5">
                <c:v>Mouse</c:v>
              </c:pt>
              <c:pt idx="6">
                <c:v>Phone</c:v>
              </c:pt>
              <c:pt idx="7">
                <c:v>Printer</c:v>
              </c:pt>
              <c:pt idx="8">
                <c:v>Table</c:v>
              </c:pt>
              <c:pt idx="9">
                <c:v>Tablet</c:v>
              </c:pt>
            </c:strLit>
          </c:cat>
          <c:val>
            <c:numLit>
              <c:formatCode>General</c:formatCode>
              <c:ptCount val="10"/>
              <c:pt idx="0">
                <c:v>7000</c:v>
              </c:pt>
              <c:pt idx="1">
                <c:v>18000</c:v>
              </c:pt>
              <c:pt idx="2">
                <c:v>9000</c:v>
              </c:pt>
              <c:pt idx="3">
                <c:v>24000</c:v>
              </c:pt>
              <c:pt idx="4">
                <c:v>16000</c:v>
              </c:pt>
              <c:pt idx="5">
                <c:v>4000</c:v>
              </c:pt>
              <c:pt idx="6">
                <c:v>19000</c:v>
              </c:pt>
              <c:pt idx="7">
                <c:v>30000</c:v>
              </c:pt>
              <c:pt idx="8">
                <c:v>10000</c:v>
              </c:pt>
              <c:pt idx="9">
                <c:v>22000</c:v>
              </c:pt>
            </c:numLit>
          </c:val>
          <c:extLst>
            <c:ext xmlns:c16="http://schemas.microsoft.com/office/drawing/2014/chart" uri="{C3380CC4-5D6E-409C-BE32-E72D297353CC}">
              <c16:uniqueId val="{00000000-CB78-4994-8B56-03FF5D87B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7610687"/>
        <c:axId val="1527610207"/>
      </c:barChart>
      <c:valAx>
        <c:axId val="1527610207"/>
        <c:scaling>
          <c:orientation val="minMax"/>
        </c:scaling>
        <c:delete val="0"/>
        <c:axPos val="b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7610687"/>
        <c:crosses val="autoZero"/>
        <c:crossBetween val="between"/>
      </c:valAx>
      <c:catAx>
        <c:axId val="152761068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7610207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Total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1.9915836024833915E-2"/>
          <c:y val="0.2368277821290605"/>
          <c:w val="0.83312116590261021"/>
          <c:h val="0.6518612638274389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472C4"/>
            </a:solidFill>
            <a:ln>
              <a:noFill/>
            </a:ln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0.10062893081761007</c:v>
              </c:pt>
              <c:pt idx="1">
                <c:v>0.45911949685534592</c:v>
              </c:pt>
              <c:pt idx="2">
                <c:v>0.27672955974842767</c:v>
              </c:pt>
              <c:pt idx="3">
                <c:v>0.16352201257861634</c:v>
              </c:pt>
            </c:numLit>
          </c:val>
          <c:extLst>
            <c:ext xmlns:c16="http://schemas.microsoft.com/office/drawing/2014/chart" uri="{C3380CC4-5D6E-409C-BE32-E72D297353CC}">
              <c16:uniqueId val="{00000000-BFFF-4B91-BD79-6784F4781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7614047"/>
        <c:axId val="1527613567"/>
      </c:barChart>
      <c:valAx>
        <c:axId val="1527613567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7614047"/>
        <c:crosses val="autoZero"/>
        <c:crossBetween val="between"/>
      </c:valAx>
      <c:catAx>
        <c:axId val="1527614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7613567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Total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4472C4"/>
            </a:solidFill>
            <a:ln>
              <a:noFill/>
            </a:ln>
          </c:spPr>
          <c:invertIfNegative val="0"/>
          <c:cat>
            <c:strLit>
              <c:ptCount val="10"/>
              <c:pt idx="0">
                <c:v>Chair</c:v>
              </c:pt>
              <c:pt idx="1">
                <c:v>Desk</c:v>
              </c:pt>
              <c:pt idx="2">
                <c:v>Keyboard</c:v>
              </c:pt>
              <c:pt idx="3">
                <c:v>Laptop</c:v>
              </c:pt>
              <c:pt idx="4">
                <c:v>Monitor</c:v>
              </c:pt>
              <c:pt idx="5">
                <c:v>Mouse</c:v>
              </c:pt>
              <c:pt idx="6">
                <c:v>Phone</c:v>
              </c:pt>
              <c:pt idx="7">
                <c:v>Printer</c:v>
              </c:pt>
              <c:pt idx="8">
                <c:v>Table</c:v>
              </c:pt>
              <c:pt idx="9">
                <c:v>Tablet</c:v>
              </c:pt>
            </c:strLit>
          </c:cat>
          <c:val>
            <c:numLit>
              <c:formatCode>General</c:formatCode>
              <c:ptCount val="10"/>
              <c:pt idx="0">
                <c:v>-6510</c:v>
              </c:pt>
              <c:pt idx="1">
                <c:v>4100</c:v>
              </c:pt>
              <c:pt idx="2">
                <c:v>-4600</c:v>
              </c:pt>
              <c:pt idx="3">
                <c:v>9900</c:v>
              </c:pt>
              <c:pt idx="4">
                <c:v>2150</c:v>
              </c:pt>
              <c:pt idx="5">
                <c:v>-9420</c:v>
              </c:pt>
              <c:pt idx="6">
                <c:v>5100</c:v>
              </c:pt>
              <c:pt idx="7">
                <c:v>15700</c:v>
              </c:pt>
              <c:pt idx="8">
                <c:v>-3620</c:v>
              </c:pt>
              <c:pt idx="9">
                <c:v>8000</c:v>
              </c:pt>
            </c:numLit>
          </c:val>
          <c:extLst>
            <c:ext xmlns:c16="http://schemas.microsoft.com/office/drawing/2014/chart" uri="{C3380CC4-5D6E-409C-BE32-E72D297353CC}">
              <c16:uniqueId val="{00000000-51D6-4A88-8550-A9B11FA10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7619807"/>
        <c:axId val="1527615967"/>
      </c:barChart>
      <c:valAx>
        <c:axId val="1527615967"/>
        <c:scaling>
          <c:orientation val="minMax"/>
        </c:scaling>
        <c:delete val="0"/>
        <c:axPos val="b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7619807"/>
        <c:crosses val="autoZero"/>
        <c:crossBetween val="between"/>
      </c:valAx>
      <c:catAx>
        <c:axId val="152761980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7615967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Total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</c:marker>
          <c:cat>
            <c:strLit>
              <c:ptCount val="1"/>
              <c:pt idx="0">
                <c:v>Jan</c:v>
              </c:pt>
            </c:strLit>
          </c:cat>
          <c:val>
            <c:numLit>
              <c:formatCode>General</c:formatCode>
              <c:ptCount val="1"/>
              <c:pt idx="0">
                <c:v>159000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E06-4747-8D6E-C02F6E06A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623647"/>
        <c:axId val="1527620767"/>
      </c:lineChart>
      <c:valAx>
        <c:axId val="1527620767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7623647"/>
        <c:crosses val="autoZero"/>
        <c:crossBetween val="between"/>
      </c:valAx>
      <c:catAx>
        <c:axId val="15276236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7620767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Total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4472C4"/>
            </a:solidFill>
            <a:ln>
              <a:noFill/>
            </a:ln>
          </c:spPr>
          <c:invertIfNegative val="0"/>
          <c:cat>
            <c:strLit>
              <c:ptCount val="5"/>
              <c:pt idx="0">
                <c:v>Desk</c:v>
              </c:pt>
              <c:pt idx="1">
                <c:v>Laptop</c:v>
              </c:pt>
              <c:pt idx="2">
                <c:v>Phone</c:v>
              </c:pt>
              <c:pt idx="3">
                <c:v>Printer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18000</c:v>
              </c:pt>
              <c:pt idx="1">
                <c:v>24000</c:v>
              </c:pt>
              <c:pt idx="2">
                <c:v>19000</c:v>
              </c:pt>
              <c:pt idx="3">
                <c:v>30000</c:v>
              </c:pt>
              <c:pt idx="4">
                <c:v>22000</c:v>
              </c:pt>
            </c:numLit>
          </c:val>
          <c:extLst>
            <c:ext xmlns:c16="http://schemas.microsoft.com/office/drawing/2014/chart" uri="{C3380CC4-5D6E-409C-BE32-E72D297353CC}">
              <c16:uniqueId val="{00000000-0A75-40F3-8AE0-2E02B4EF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7622687"/>
        <c:axId val="1527626047"/>
      </c:barChart>
      <c:valAx>
        <c:axId val="1527626047"/>
        <c:scaling>
          <c:orientation val="minMax"/>
        </c:scaling>
        <c:delete val="0"/>
        <c:axPos val="b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7622687"/>
        <c:crosses val="autoZero"/>
        <c:crossBetween val="between"/>
      </c:valAx>
      <c:catAx>
        <c:axId val="152762268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7626047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765810</xdr:colOff>
      <xdr:row>0</xdr:row>
      <xdr:rowOff>0</xdr:rowOff>
    </xdr:from>
    <xdr:ext cx="4431026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0A8EE-4D55-5B53-D9A7-9417D0323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172721</xdr:rowOff>
    </xdr:from>
    <xdr:ext cx="5519226" cy="26365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A0D03-5C3F-072F-6919-7DC3BB2D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254002</xdr:colOff>
      <xdr:row>7</xdr:row>
      <xdr:rowOff>172721</xdr:rowOff>
    </xdr:from>
    <xdr:ext cx="6583286" cy="26466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48AF00-5DF7-C104-8A5E-B2FE095CD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477517</xdr:colOff>
      <xdr:row>7</xdr:row>
      <xdr:rowOff>172721</xdr:rowOff>
    </xdr:from>
    <xdr:ext cx="4618890" cy="26466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7A10C9-4BEB-1A6C-1C96-58DF388EC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22</xdr:col>
      <xdr:colOff>182880</xdr:colOff>
      <xdr:row>8</xdr:row>
      <xdr:rowOff>10158</xdr:rowOff>
    </xdr:from>
    <xdr:ext cx="4613029" cy="2653716"/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7B44E986-A56A-64AF-1373-CBBB217D6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601976</xdr:colOff>
      <xdr:row>0</xdr:row>
      <xdr:rowOff>7616</xdr:rowOff>
    </xdr:from>
    <xdr:ext cx="8633755" cy="31165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EAC004-1074-B744-D242-E890941F5A8D}"/>
            </a:ext>
          </a:extLst>
        </xdr:cNvPr>
        <xdr:cNvSpPr txBox="1"/>
      </xdr:nvSpPr>
      <xdr:spPr>
        <a:xfrm>
          <a:off x="601976" y="7616"/>
          <a:ext cx="8633755" cy="3116576"/>
        </a:xfrm>
        <a:prstGeom prst="rect">
          <a:avLst/>
        </a:prstGeom>
        <a:noFill/>
        <a:ln cap="flat">
          <a:noFill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IN" sz="3200" b="0" i="0" u="sng" strike="noStrike" kern="0" cap="none" spc="0" baseline="0">
              <a:solidFill>
                <a:srgbClr val="000000"/>
              </a:solidFill>
              <a:uFillTx/>
              <a:latin typeface="Arial" pitchFamily="34"/>
              <a:cs typeface="Arial" pitchFamily="34"/>
            </a:rPr>
            <a:t>Business Insights</a:t>
          </a:r>
          <a:r>
            <a:rPr lang="en-IN" sz="3200" b="0" i="0" u="none" strike="noStrike" kern="0" cap="none" spc="0" baseline="0">
              <a:solidFill>
                <a:srgbClr val="000000"/>
              </a:solidFill>
              <a:uFillTx/>
              <a:latin typeface="Arial" pitchFamily="34"/>
              <a:cs typeface="Arial" pitchFamily="34"/>
            </a:rPr>
            <a:t>:</a:t>
          </a:r>
        </a:p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Calibri"/>
          </a:endParaRPr>
        </a:p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IN" sz="1800" b="0" i="0" u="none" strike="noStrike" kern="0" cap="none" spc="0" baseline="0">
              <a:solidFill>
                <a:srgbClr val="000000"/>
              </a:solidFill>
              <a:uFillTx/>
              <a:latin typeface="Ebrima" pitchFamily="2"/>
              <a:ea typeface="Ebrima" pitchFamily="2"/>
              <a:cs typeface="Ebrima" pitchFamily="2"/>
            </a:rPr>
            <a:t>1. North region generates the highest revenue (35% of total), indicating market dominance.</a:t>
          </a:r>
        </a:p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IN" sz="1800" b="0" i="0" u="none" strike="noStrike" kern="0" cap="none" spc="0" baseline="0">
              <a:solidFill>
                <a:srgbClr val="000000"/>
              </a:solidFill>
              <a:uFillTx/>
              <a:latin typeface="Ebrima" pitchFamily="2"/>
              <a:ea typeface="Ebrima" pitchFamily="2"/>
              <a:cs typeface="Ebrima" pitchFamily="2"/>
            </a:rPr>
            <a:t>2. Technology products contribute most to profit.</a:t>
          </a:r>
        </a:p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IN" sz="1800" b="0" i="0" u="none" strike="noStrike" kern="0" cap="none" spc="0" baseline="0">
              <a:solidFill>
                <a:srgbClr val="000000"/>
              </a:solidFill>
              <a:uFillTx/>
              <a:latin typeface="Ebrima" pitchFamily="2"/>
              <a:ea typeface="Ebrima" pitchFamily="2"/>
              <a:cs typeface="Ebrima" pitchFamily="2"/>
            </a:rPr>
            <a:t>3. Profit margins are stable across regions (~20%).</a:t>
          </a:r>
        </a:p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IN" sz="1800" b="0" i="0" u="none" strike="noStrike" kern="0" cap="none" spc="0" baseline="0">
              <a:solidFill>
                <a:srgbClr val="000000"/>
              </a:solidFill>
              <a:uFillTx/>
              <a:latin typeface="Ebrima" pitchFamily="2"/>
              <a:ea typeface="Ebrima" pitchFamily="2"/>
              <a:cs typeface="Ebrima" pitchFamily="2"/>
            </a:rPr>
            <a:t>4. Top 5 products account for 50% of revenue, suggesting concentration risk.</a:t>
          </a:r>
        </a:p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IN" sz="1800" b="0" i="0" u="none" strike="noStrike" kern="0" cap="none" spc="0" baseline="0">
              <a:solidFill>
                <a:srgbClr val="000000"/>
              </a:solidFill>
              <a:uFillTx/>
              <a:latin typeface="Ebrima" pitchFamily="2"/>
              <a:ea typeface="Ebrima" pitchFamily="2"/>
              <a:cs typeface="Ebrima" pitchFamily="2"/>
            </a:rPr>
            <a:t>5. Recommendation: Expand Furniture and Accessories categories to diversify revenue and improve margins</a:t>
          </a:r>
          <a:r>
            <a:rPr lang="en-IN" sz="1100" b="0" i="0" u="none" strike="noStrike" kern="0" cap="none" spc="0" baseline="0">
              <a:solidFill>
                <a:srgbClr val="000000"/>
              </a:solidFill>
              <a:uFillTx/>
              <a:latin typeface="Ebrima" pitchFamily="2"/>
              <a:ea typeface="Ebrima" pitchFamily="2"/>
              <a:cs typeface="Ebrima" pitchFamily="2"/>
            </a:rPr>
            <a:t>.</a:t>
          </a:r>
        </a:p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CA63CCC3-ACA3-4223-8F37-E16D73C6C534}">
  <cacheSource type="worksheet">
    <worksheetSource name="SalesData[#All]"/>
  </cacheSource>
  <cacheFields count="10">
    <cacheField name="Product" numFmtId="0">
      <sharedItems containsSemiMixedTypes="0" containsNonDate="0" containsString="0"/>
    </cacheField>
    <cacheField name="Sales" numFmtId="0">
      <sharedItems containsSemiMixedTypes="0" containsNonDate="0" containsString="0"/>
    </cacheField>
    <cacheField name="Order_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Cost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Profit_Margi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47311629-4DA2-40E2-903A-7F733728F9CB}">
  <cacheSource type="worksheet">
    <worksheetSource name="SalesData[#All]"/>
  </cacheSource>
  <cacheFields count="10">
    <cacheField name="Product" numFmtId="0">
      <sharedItems containsSemiMixedTypes="0" containsNonDate="0" containsString="0"/>
    </cacheField>
    <cacheField name="Sales" numFmtId="0">
      <sharedItems containsSemiMixedTypes="0" containsNonDate="0" containsString="0"/>
    </cacheField>
    <cacheField name="Order_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Cost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Profit_Margi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39DA69EE-2C87-4B9B-B394-8BD9F5219EB8}">
  <cacheSource type="worksheet">
    <worksheetSource name="SalesData[#All]"/>
  </cacheSource>
  <cacheFields count="10">
    <cacheField name="Product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Order_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Sales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Cost" numFmtId="0">
      <sharedItems containsSemiMixedTypes="0" containsNonDate="0" containsString="0"/>
    </cacheField>
    <cacheField name="Profit_Margi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E4EF8D63-3398-4678-8F6A-7E450768FE7B}">
  <cacheSource type="worksheet">
    <worksheetSource name="SalesData[#All]"/>
  </cacheSource>
  <cacheFields count="10">
    <cacheField name="Sales" numFmtId="0">
      <sharedItems containsSemiMixedTypes="0" containsNonDate="0" containsString="0"/>
    </cacheField>
    <cacheField name="Order_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Cost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Profit_Margi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C1EE5FB5-7017-470F-806B-BF635E158C25}">
  <cacheSource type="worksheet">
    <worksheetSource name="SalesData[#All]"/>
  </cacheSource>
  <cacheFields count="10">
    <cacheField name="Region" numFmtId="0">
      <sharedItems containsSemiMixedTypes="0" containsNonDate="0" containsString="0"/>
    </cacheField>
    <cacheField name="Sales" numFmtId="0">
      <sharedItems containsSemiMixedTypes="0" containsNonDate="0" containsString="0"/>
    </cacheField>
    <cacheField name="Order_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Cost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Profit_Margi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CB17FCC9-B258-402C-A6BA-BAEA834A2EAF}">
  <cacheSource type="worksheet">
    <worksheetSource name="SalesData[#All]"/>
  </cacheSource>
  <cacheFields count="10">
    <cacheField name="Region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Order_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Sales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Cost" numFmtId="0">
      <sharedItems containsSemiMixedTypes="0" containsNonDate="0" containsString="0"/>
    </cacheField>
    <cacheField name="Profit_Margi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A323F02A-849B-472F-ADFC-7E73DE673632}">
  <cacheSource type="worksheet">
    <worksheetSource name="SalesData[#All]"/>
  </cacheSource>
  <cacheFields count="10">
    <cacheField name="Region" numFmtId="0">
      <sharedItems containsSemiMixedTypes="0" containsNonDate="0" containsString="0"/>
    </cacheField>
    <cacheField name="Sales" numFmtId="0">
      <sharedItems containsSemiMixedTypes="0" containsNonDate="0" containsString="0"/>
    </cacheField>
    <cacheField name="Order_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Cost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Profit_Margi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2D338-E628-4350-8EAA-37A99F69AA5D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J1:K7" firstHeaderRow="1" firstDataRow="1" firstDataCol="1"/>
  <pivotFields count="10">
    <pivotField axis="axisRow" compact="0" showAll="0" measureFilter="1" includeNewItemsInFilter="1">
      <items count="1">
        <item t="default"/>
      </items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</pivotFields>
  <rowFields count="1">
    <field x="0"/>
  </rowFields>
  <dataFields count="1">
    <dataField name="Sum of Sales" fld="1" baseField="1" baseItem="1048828"/>
  </dataField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03E1B-FF18-4EF2-814D-D878186B34A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1:B12" firstHeaderRow="1" firstDataRow="1" firstDataCol="1"/>
  <pivotFields count="10">
    <pivotField axis="axisRow" compact="0" showAll="0" includeNewItemsInFilter="1">
      <items count="1">
        <item t="default"/>
      </items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</pivotFields>
  <rowFields count="1">
    <field x="0"/>
  </rowFields>
  <dataFields count="1">
    <dataField name="Sum of Sales" fld="1" baseField="1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9562B-9E4E-401D-B0CE-EBF9F41232DD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D17:E22" firstHeaderRow="1" firstDataRow="1" firstDataCol="1"/>
  <pivotFields count="10">
    <pivotField axis="axisRow" compact="0" showAll="0" includeNewItemsInFilter="1" sortType="ascending">
      <items count="1">
        <item t="default"/>
      </items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</pivotFields>
  <rowFields count="1">
    <field x="0"/>
  </rowFields>
  <dataFields count="1">
    <dataField name="Sum of Profit" fld="1" baseField="1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61B02-3528-45A6-A987-A88EEA48E4F5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3:B8" firstHeaderRow="1" firstDataRow="1" firstDataCol="1"/>
  <pivotFields count="10">
    <pivotField axis="axisRow" compact="0" showAll="0" includeNewItemsInFilter="1">
      <items count="1">
        <item t="default"/>
      </items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</pivotFields>
  <rowFields count="1">
    <field x="0"/>
  </rowFields>
  <dataFields count="1">
    <dataField name="Sum of Sales" fld="1" showDataAs="percentOfTotal" baseField="2" baseItem="1048828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82060-7658-4022-B028-50255C5AE8BA}" name="Monthly Revenue Trend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18:B20" firstHeaderRow="1" firstDataRow="1" firstDataCol="0"/>
  <pivotFields count="10"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</pivotFields>
  <dataFields count="1">
    <dataField name="Sum of Sales" fld="0" baseField="0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A4491-F263-4B8E-B3D6-D9F4B686440B}" name="Profit by Product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D3:E14" firstHeaderRow="1" firstDataRow="1" firstDataCol="1"/>
  <pivotFields count="10">
    <pivotField axis="axisRow" compact="0" showAll="0" includeNewItemsInFilter="1" sortType="ascending">
      <items count="1">
        <item t="default"/>
      </items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</pivotFields>
  <rowFields count="1">
    <field x="0"/>
  </rowFields>
  <dataFields count="1">
    <dataField name="Sum of Profit" fld="1" baseField="1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0681F-4EB6-4784-8609-B212170027CC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D3:E8" firstHeaderRow="1" firstDataRow="1" firstDataCol="1"/>
  <pivotFields count="10">
    <pivotField axis="axisRow" compact="0" showAll="0" includeNewItemsInFilter="1">
      <items count="1">
        <item t="default"/>
      </items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</pivotFields>
  <rowFields count="1">
    <field x="0"/>
  </rowFields>
  <dataFields count="1">
    <dataField name="Sum of Sales" fld="1" showDataAs="percentOfTotal" baseField="2" baseItem="1048828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99EB7-9764-45C6-8336-4F7E34B7B04D}" name="SalesData" displayName="SalesData" ref="A1:J201" totalsRowShown="0">
  <autoFilter ref="A1:J201" xr:uid="{F3E3640A-FC5F-4D99-8754-D518003A185C}"/>
  <tableColumns count="10">
    <tableColumn id="1" xr3:uid="{0A98556A-5D5C-48D7-B256-DC9FBF766A1F}" name="Order_ID"/>
    <tableColumn id="2" xr3:uid="{4E7482C9-DE5B-4730-83B1-A95426A99076}" name="Date"/>
    <tableColumn id="3" xr3:uid="{DB63ACB6-59C1-4429-9FD8-110B266FB07B}" name="Region"/>
    <tableColumn id="4" xr3:uid="{3DD9A286-FE14-4047-BF11-54089FD3C6A6}" name="Product"/>
    <tableColumn id="5" xr3:uid="{2E9D1591-8DA2-4A02-A6A0-615943524C28}" name="Category"/>
    <tableColumn id="6" xr3:uid="{7D5AEC8D-B402-44C9-AB23-89F893DDA8BB}" name="Sales"/>
    <tableColumn id="7" xr3:uid="{C60EA4EB-0DD7-4C54-B551-29CE9D64566E}" name="Quantity"/>
    <tableColumn id="8" xr3:uid="{C75CCDCA-CA7A-4B94-B683-641D2700257A}" name="Cost"/>
    <tableColumn id="9" xr3:uid="{04BDAF7F-7A76-4DC6-BAB5-153BD9FA82A9}" name="Profit"/>
    <tableColumn id="10" xr3:uid="{3D744037-7906-4B31-95B3-3E8456458FF0}" name="Profit_Marg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DA9C-2FB9-4D7D-9A8A-BC2BE998D4FA}">
  <dimension ref="A1:J201"/>
  <sheetViews>
    <sheetView tabSelected="1" workbookViewId="0"/>
  </sheetViews>
  <sheetFormatPr defaultRowHeight="14.4" x14ac:dyDescent="0.3"/>
  <cols>
    <col min="1" max="1" width="10.6640625" bestFit="1" customWidth="1"/>
    <col min="2" max="2" width="10.33203125" bestFit="1" customWidth="1"/>
    <col min="3" max="3" width="8.77734375" bestFit="1" customWidth="1"/>
    <col min="4" max="4" width="9.5546875" bestFit="1" customWidth="1"/>
    <col min="5" max="5" width="10.5546875" bestFit="1" customWidth="1"/>
    <col min="6" max="6" width="7.33203125" bestFit="1" customWidth="1"/>
    <col min="7" max="7" width="10.21875" bestFit="1" customWidth="1"/>
    <col min="8" max="8" width="6.88671875" bestFit="1" customWidth="1"/>
    <col min="9" max="9" width="8.88671875" customWidth="1"/>
    <col min="10" max="10" width="14.44140625" bestFit="1" customWidth="1"/>
    <col min="11" max="11" width="8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s="1">
        <v>45658</v>
      </c>
      <c r="C2" t="s">
        <v>10</v>
      </c>
      <c r="D2" t="s">
        <v>11</v>
      </c>
      <c r="E2" t="s">
        <v>12</v>
      </c>
      <c r="F2">
        <v>1200</v>
      </c>
      <c r="G2">
        <v>2</v>
      </c>
      <c r="H2">
        <v>800</v>
      </c>
      <c r="I2">
        <f>Raw_Data!$F2-Raw_Data!$H2</f>
        <v>400</v>
      </c>
      <c r="J2">
        <f>Raw_Data!$I2/Raw_Data!$F2</f>
        <v>0.33333333333333331</v>
      </c>
    </row>
    <row r="3" spans="1:10" x14ac:dyDescent="0.3">
      <c r="A3">
        <v>1002</v>
      </c>
      <c r="B3" s="1">
        <v>45659</v>
      </c>
      <c r="C3" t="s">
        <v>13</v>
      </c>
      <c r="D3" t="s">
        <v>14</v>
      </c>
      <c r="E3" t="s">
        <v>12</v>
      </c>
      <c r="F3">
        <v>200</v>
      </c>
      <c r="G3">
        <v>5</v>
      </c>
      <c r="H3">
        <v>120</v>
      </c>
      <c r="I3">
        <f>Raw_Data!$F3-Raw_Data!$H3</f>
        <v>80</v>
      </c>
      <c r="J3">
        <f>Raw_Data!$I3/Raw_Data!$F3</f>
        <v>0.4</v>
      </c>
    </row>
    <row r="4" spans="1:10" x14ac:dyDescent="0.3">
      <c r="A4">
        <v>1003</v>
      </c>
      <c r="B4" s="1">
        <v>45660</v>
      </c>
      <c r="C4" t="s">
        <v>15</v>
      </c>
      <c r="D4" t="s">
        <v>16</v>
      </c>
      <c r="E4" t="s">
        <v>12</v>
      </c>
      <c r="F4">
        <v>450</v>
      </c>
      <c r="G4">
        <v>3</v>
      </c>
      <c r="H4">
        <v>300</v>
      </c>
      <c r="I4">
        <f>Raw_Data!$F4-Raw_Data!$H4</f>
        <v>150</v>
      </c>
      <c r="J4">
        <f>Raw_Data!$I4/Raw_Data!$F4</f>
        <v>0.33333333333333331</v>
      </c>
    </row>
    <row r="5" spans="1:10" x14ac:dyDescent="0.3">
      <c r="A5">
        <v>1004</v>
      </c>
      <c r="B5" s="1">
        <v>45662</v>
      </c>
      <c r="C5" t="s">
        <v>17</v>
      </c>
      <c r="D5" t="s">
        <v>18</v>
      </c>
      <c r="E5" t="s">
        <v>12</v>
      </c>
      <c r="F5">
        <v>800</v>
      </c>
      <c r="G5">
        <v>2</v>
      </c>
      <c r="H5">
        <v>550</v>
      </c>
      <c r="I5">
        <f>Raw_Data!$F5-Raw_Data!$H5</f>
        <v>250</v>
      </c>
      <c r="J5">
        <f>Raw_Data!$I5/Raw_Data!$F5</f>
        <v>0.3125</v>
      </c>
    </row>
    <row r="6" spans="1:10" x14ac:dyDescent="0.3">
      <c r="A6">
        <v>1005</v>
      </c>
      <c r="B6" s="1">
        <v>45665</v>
      </c>
      <c r="C6" t="s">
        <v>10</v>
      </c>
      <c r="D6" t="s">
        <v>19</v>
      </c>
      <c r="E6" t="s">
        <v>12</v>
      </c>
      <c r="F6">
        <v>1500</v>
      </c>
      <c r="G6">
        <v>1</v>
      </c>
      <c r="H6">
        <v>1000</v>
      </c>
      <c r="I6">
        <f>Raw_Data!$F6-Raw_Data!$H6</f>
        <v>500</v>
      </c>
      <c r="J6">
        <f>Raw_Data!$I6/Raw_Data!$F6</f>
        <v>0.33333333333333331</v>
      </c>
    </row>
    <row r="7" spans="1:10" x14ac:dyDescent="0.3">
      <c r="A7">
        <v>1006</v>
      </c>
      <c r="B7" s="1">
        <v>45667</v>
      </c>
      <c r="C7" t="s">
        <v>13</v>
      </c>
      <c r="D7" t="s">
        <v>20</v>
      </c>
      <c r="E7" t="s">
        <v>21</v>
      </c>
      <c r="F7">
        <v>900</v>
      </c>
      <c r="G7">
        <v>3</v>
      </c>
      <c r="H7">
        <v>600</v>
      </c>
      <c r="I7">
        <f>Raw_Data!$F7-Raw_Data!$H7</f>
        <v>300</v>
      </c>
      <c r="J7">
        <f>Raw_Data!$I7/Raw_Data!$F7</f>
        <v>0.33333333333333331</v>
      </c>
    </row>
    <row r="8" spans="1:10" x14ac:dyDescent="0.3">
      <c r="A8">
        <v>1007</v>
      </c>
      <c r="B8" s="1">
        <v>45669</v>
      </c>
      <c r="C8" t="s">
        <v>15</v>
      </c>
      <c r="D8" t="s">
        <v>22</v>
      </c>
      <c r="E8" t="s">
        <v>21</v>
      </c>
      <c r="F8">
        <v>350</v>
      </c>
      <c r="G8">
        <v>7</v>
      </c>
      <c r="H8">
        <v>210</v>
      </c>
      <c r="I8">
        <f>Raw_Data!$F8-Raw_Data!$H8</f>
        <v>140</v>
      </c>
      <c r="J8">
        <f>Raw_Data!$I8/Raw_Data!$F8</f>
        <v>0.4</v>
      </c>
    </row>
    <row r="9" spans="1:10" x14ac:dyDescent="0.3">
      <c r="A9">
        <v>1008</v>
      </c>
      <c r="B9" s="1">
        <v>45672</v>
      </c>
      <c r="C9" t="s">
        <v>17</v>
      </c>
      <c r="D9" t="s">
        <v>23</v>
      </c>
      <c r="E9" t="s">
        <v>21</v>
      </c>
      <c r="F9">
        <v>500</v>
      </c>
      <c r="G9">
        <v>4</v>
      </c>
      <c r="H9">
        <v>320</v>
      </c>
      <c r="I9">
        <f>Raw_Data!$F9-Raw_Data!$H9</f>
        <v>180</v>
      </c>
      <c r="J9">
        <f>Raw_Data!$I9/Raw_Data!$F9</f>
        <v>0.36</v>
      </c>
    </row>
    <row r="10" spans="1:10" x14ac:dyDescent="0.3">
      <c r="A10">
        <v>1009</v>
      </c>
      <c r="B10" s="1">
        <v>45675</v>
      </c>
      <c r="C10" t="s">
        <v>10</v>
      </c>
      <c r="D10" t="s">
        <v>24</v>
      </c>
      <c r="E10" t="s">
        <v>12</v>
      </c>
      <c r="F10">
        <v>950</v>
      </c>
      <c r="G10">
        <v>2</v>
      </c>
      <c r="H10">
        <v>600</v>
      </c>
      <c r="I10">
        <f>Raw_Data!$F10-Raw_Data!$H10</f>
        <v>350</v>
      </c>
      <c r="J10">
        <f>Raw_Data!$I10/Raw_Data!$F10</f>
        <v>0.36842105263157893</v>
      </c>
    </row>
    <row r="11" spans="1:10" x14ac:dyDescent="0.3">
      <c r="A11">
        <v>1010</v>
      </c>
      <c r="B11" s="1">
        <v>45677</v>
      </c>
      <c r="C11" t="s">
        <v>13</v>
      </c>
      <c r="D11" t="s">
        <v>25</v>
      </c>
      <c r="E11" t="s">
        <v>12</v>
      </c>
      <c r="F11">
        <v>1100</v>
      </c>
      <c r="G11">
        <v>2</v>
      </c>
      <c r="H11">
        <v>700</v>
      </c>
      <c r="I11">
        <f>Raw_Data!$F11-Raw_Data!$H11</f>
        <v>400</v>
      </c>
      <c r="J11">
        <f>Raw_Data!$I11/Raw_Data!$F11</f>
        <v>0.36363636363636365</v>
      </c>
    </row>
    <row r="12" spans="1:10" x14ac:dyDescent="0.3">
      <c r="A12">
        <v>1001</v>
      </c>
      <c r="B12" s="1">
        <v>45658</v>
      </c>
      <c r="C12" t="s">
        <v>10</v>
      </c>
      <c r="D12" t="s">
        <v>11</v>
      </c>
      <c r="E12" t="s">
        <v>12</v>
      </c>
      <c r="F12">
        <v>1200</v>
      </c>
      <c r="G12">
        <v>2</v>
      </c>
      <c r="H12">
        <v>700</v>
      </c>
      <c r="I12">
        <f>Raw_Data!$F12-Raw_Data!$H12</f>
        <v>500</v>
      </c>
      <c r="J12">
        <f>Raw_Data!$I12/Raw_Data!$F12</f>
        <v>0.41666666666666669</v>
      </c>
    </row>
    <row r="13" spans="1:10" x14ac:dyDescent="0.3">
      <c r="A13">
        <v>1002</v>
      </c>
      <c r="B13" s="1">
        <v>45659</v>
      </c>
      <c r="C13" t="s">
        <v>13</v>
      </c>
      <c r="D13" t="s">
        <v>14</v>
      </c>
      <c r="E13" t="s">
        <v>12</v>
      </c>
      <c r="F13">
        <v>200</v>
      </c>
      <c r="G13">
        <v>5</v>
      </c>
      <c r="H13">
        <v>700</v>
      </c>
      <c r="I13">
        <f>Raw_Data!$F13-Raw_Data!$H13</f>
        <v>-500</v>
      </c>
      <c r="J13">
        <f>Raw_Data!$I13/Raw_Data!$F13</f>
        <v>-2.5</v>
      </c>
    </row>
    <row r="14" spans="1:10" x14ac:dyDescent="0.3">
      <c r="A14">
        <v>1003</v>
      </c>
      <c r="B14" s="1">
        <v>45660</v>
      </c>
      <c r="C14" t="s">
        <v>15</v>
      </c>
      <c r="D14" t="s">
        <v>16</v>
      </c>
      <c r="E14" t="s">
        <v>12</v>
      </c>
      <c r="F14">
        <v>450</v>
      </c>
      <c r="G14">
        <v>3</v>
      </c>
      <c r="H14">
        <v>700</v>
      </c>
      <c r="I14">
        <f>Raw_Data!$F14-Raw_Data!$H14</f>
        <v>-250</v>
      </c>
      <c r="J14">
        <f>Raw_Data!$I14/Raw_Data!$F14</f>
        <v>-0.55555555555555558</v>
      </c>
    </row>
    <row r="15" spans="1:10" x14ac:dyDescent="0.3">
      <c r="A15">
        <v>1004</v>
      </c>
      <c r="B15" s="1">
        <v>45662</v>
      </c>
      <c r="C15" t="s">
        <v>17</v>
      </c>
      <c r="D15" t="s">
        <v>18</v>
      </c>
      <c r="E15" t="s">
        <v>12</v>
      </c>
      <c r="F15">
        <v>800</v>
      </c>
      <c r="G15">
        <v>2</v>
      </c>
      <c r="H15">
        <v>700</v>
      </c>
      <c r="I15">
        <f>Raw_Data!$F15-Raw_Data!$H15</f>
        <v>100</v>
      </c>
      <c r="J15">
        <f>Raw_Data!$I15/Raw_Data!$F15</f>
        <v>0.125</v>
      </c>
    </row>
    <row r="16" spans="1:10" x14ac:dyDescent="0.3">
      <c r="A16">
        <v>1005</v>
      </c>
      <c r="B16" s="1">
        <v>45665</v>
      </c>
      <c r="C16" t="s">
        <v>10</v>
      </c>
      <c r="D16" t="s">
        <v>19</v>
      </c>
      <c r="E16" t="s">
        <v>12</v>
      </c>
      <c r="F16">
        <v>1500</v>
      </c>
      <c r="G16">
        <v>1</v>
      </c>
      <c r="H16">
        <v>700</v>
      </c>
      <c r="I16">
        <f>Raw_Data!$F16-Raw_Data!$H16</f>
        <v>800</v>
      </c>
      <c r="J16">
        <f>Raw_Data!$I16/Raw_Data!$F16</f>
        <v>0.53333333333333333</v>
      </c>
    </row>
    <row r="17" spans="1:10" x14ac:dyDescent="0.3">
      <c r="A17">
        <v>1006</v>
      </c>
      <c r="B17" s="1">
        <v>45667</v>
      </c>
      <c r="C17" t="s">
        <v>13</v>
      </c>
      <c r="D17" t="s">
        <v>20</v>
      </c>
      <c r="E17" t="s">
        <v>21</v>
      </c>
      <c r="F17">
        <v>900</v>
      </c>
      <c r="G17">
        <v>3</v>
      </c>
      <c r="H17">
        <v>700</v>
      </c>
      <c r="I17">
        <f>Raw_Data!$F17-Raw_Data!$H17</f>
        <v>200</v>
      </c>
      <c r="J17">
        <f>Raw_Data!$I17/Raw_Data!$F17</f>
        <v>0.22222222222222221</v>
      </c>
    </row>
    <row r="18" spans="1:10" x14ac:dyDescent="0.3">
      <c r="A18">
        <v>1007</v>
      </c>
      <c r="B18" s="1">
        <v>45669</v>
      </c>
      <c r="C18" t="s">
        <v>15</v>
      </c>
      <c r="D18" t="s">
        <v>22</v>
      </c>
      <c r="E18" t="s">
        <v>21</v>
      </c>
      <c r="F18">
        <v>350</v>
      </c>
      <c r="G18">
        <v>7</v>
      </c>
      <c r="H18">
        <v>700</v>
      </c>
      <c r="I18">
        <f>Raw_Data!$F18-Raw_Data!$H18</f>
        <v>-350</v>
      </c>
      <c r="J18">
        <f>Raw_Data!$I18/Raw_Data!$F18</f>
        <v>-1</v>
      </c>
    </row>
    <row r="19" spans="1:10" x14ac:dyDescent="0.3">
      <c r="A19">
        <v>1008</v>
      </c>
      <c r="B19" s="1">
        <v>45672</v>
      </c>
      <c r="C19" t="s">
        <v>17</v>
      </c>
      <c r="D19" t="s">
        <v>23</v>
      </c>
      <c r="E19" t="s">
        <v>21</v>
      </c>
      <c r="F19">
        <v>500</v>
      </c>
      <c r="G19">
        <v>4</v>
      </c>
      <c r="H19">
        <v>700</v>
      </c>
      <c r="I19">
        <f>Raw_Data!$F19-Raw_Data!$H19</f>
        <v>-200</v>
      </c>
      <c r="J19">
        <f>Raw_Data!$I19/Raw_Data!$F19</f>
        <v>-0.4</v>
      </c>
    </row>
    <row r="20" spans="1:10" x14ac:dyDescent="0.3">
      <c r="A20">
        <v>1009</v>
      </c>
      <c r="B20" s="1">
        <v>45675</v>
      </c>
      <c r="C20" t="s">
        <v>10</v>
      </c>
      <c r="D20" t="s">
        <v>24</v>
      </c>
      <c r="E20" t="s">
        <v>12</v>
      </c>
      <c r="F20">
        <v>950</v>
      </c>
      <c r="G20">
        <v>2</v>
      </c>
      <c r="H20">
        <v>700</v>
      </c>
      <c r="I20">
        <f>Raw_Data!$F20-Raw_Data!$H20</f>
        <v>250</v>
      </c>
      <c r="J20">
        <f>Raw_Data!$I20/Raw_Data!$F20</f>
        <v>0.26315789473684209</v>
      </c>
    </row>
    <row r="21" spans="1:10" x14ac:dyDescent="0.3">
      <c r="A21">
        <v>1010</v>
      </c>
      <c r="B21" s="1">
        <v>45677</v>
      </c>
      <c r="C21" t="s">
        <v>13</v>
      </c>
      <c r="D21" t="s">
        <v>25</v>
      </c>
      <c r="E21" t="s">
        <v>12</v>
      </c>
      <c r="F21">
        <v>1100</v>
      </c>
      <c r="G21">
        <v>2</v>
      </c>
      <c r="H21">
        <v>700</v>
      </c>
      <c r="I21">
        <f>Raw_Data!$F21-Raw_Data!$H21</f>
        <v>400</v>
      </c>
      <c r="J21">
        <f>Raw_Data!$I21/Raw_Data!$F21</f>
        <v>0.36363636363636365</v>
      </c>
    </row>
    <row r="22" spans="1:10" x14ac:dyDescent="0.3">
      <c r="A22">
        <v>1001</v>
      </c>
      <c r="B22" s="1">
        <v>45658</v>
      </c>
      <c r="C22" t="s">
        <v>10</v>
      </c>
      <c r="D22" t="s">
        <v>11</v>
      </c>
      <c r="E22" t="s">
        <v>12</v>
      </c>
      <c r="F22">
        <v>1200</v>
      </c>
      <c r="G22">
        <v>2</v>
      </c>
      <c r="H22">
        <v>700</v>
      </c>
      <c r="I22">
        <f>Raw_Data!$F22-Raw_Data!$H22</f>
        <v>500</v>
      </c>
      <c r="J22">
        <f>Raw_Data!$I22/Raw_Data!$F22</f>
        <v>0.41666666666666669</v>
      </c>
    </row>
    <row r="23" spans="1:10" x14ac:dyDescent="0.3">
      <c r="A23">
        <v>1002</v>
      </c>
      <c r="B23" s="1">
        <v>45659</v>
      </c>
      <c r="C23" t="s">
        <v>13</v>
      </c>
      <c r="D23" t="s">
        <v>14</v>
      </c>
      <c r="E23" t="s">
        <v>12</v>
      </c>
      <c r="F23">
        <v>200</v>
      </c>
      <c r="G23">
        <v>5</v>
      </c>
      <c r="H23">
        <v>700</v>
      </c>
      <c r="I23">
        <f>Raw_Data!$F23-Raw_Data!$H23</f>
        <v>-500</v>
      </c>
      <c r="J23">
        <f>Raw_Data!$I23/Raw_Data!$F23</f>
        <v>-2.5</v>
      </c>
    </row>
    <row r="24" spans="1:10" x14ac:dyDescent="0.3">
      <c r="A24">
        <v>1003</v>
      </c>
      <c r="B24" s="1">
        <v>45660</v>
      </c>
      <c r="C24" t="s">
        <v>15</v>
      </c>
      <c r="D24" t="s">
        <v>16</v>
      </c>
      <c r="E24" t="s">
        <v>12</v>
      </c>
      <c r="F24">
        <v>450</v>
      </c>
      <c r="G24">
        <v>3</v>
      </c>
      <c r="H24">
        <v>700</v>
      </c>
      <c r="I24">
        <f>Raw_Data!$F24-Raw_Data!$H24</f>
        <v>-250</v>
      </c>
      <c r="J24">
        <f>Raw_Data!$I24/Raw_Data!$F24</f>
        <v>-0.55555555555555558</v>
      </c>
    </row>
    <row r="25" spans="1:10" x14ac:dyDescent="0.3">
      <c r="A25">
        <v>1004</v>
      </c>
      <c r="B25" s="1">
        <v>45662</v>
      </c>
      <c r="C25" t="s">
        <v>17</v>
      </c>
      <c r="D25" t="s">
        <v>18</v>
      </c>
      <c r="E25" t="s">
        <v>12</v>
      </c>
      <c r="F25">
        <v>800</v>
      </c>
      <c r="G25">
        <v>2</v>
      </c>
      <c r="H25">
        <v>700</v>
      </c>
      <c r="I25">
        <f>Raw_Data!$F25-Raw_Data!$H25</f>
        <v>100</v>
      </c>
      <c r="J25">
        <f>Raw_Data!$I25/Raw_Data!$F25</f>
        <v>0.125</v>
      </c>
    </row>
    <row r="26" spans="1:10" x14ac:dyDescent="0.3">
      <c r="A26">
        <v>1005</v>
      </c>
      <c r="B26" s="1">
        <v>45665</v>
      </c>
      <c r="C26" t="s">
        <v>10</v>
      </c>
      <c r="D26" t="s">
        <v>19</v>
      </c>
      <c r="E26" t="s">
        <v>12</v>
      </c>
      <c r="F26">
        <v>1500</v>
      </c>
      <c r="G26">
        <v>1</v>
      </c>
      <c r="H26">
        <v>700</v>
      </c>
      <c r="I26">
        <f>Raw_Data!$F26-Raw_Data!$H26</f>
        <v>800</v>
      </c>
      <c r="J26">
        <f>Raw_Data!$I26/Raw_Data!$F26</f>
        <v>0.53333333333333333</v>
      </c>
    </row>
    <row r="27" spans="1:10" x14ac:dyDescent="0.3">
      <c r="A27">
        <v>1006</v>
      </c>
      <c r="B27" s="1">
        <v>45667</v>
      </c>
      <c r="C27" t="s">
        <v>13</v>
      </c>
      <c r="D27" t="s">
        <v>20</v>
      </c>
      <c r="E27" t="s">
        <v>21</v>
      </c>
      <c r="F27">
        <v>900</v>
      </c>
      <c r="G27">
        <v>3</v>
      </c>
      <c r="H27">
        <v>700</v>
      </c>
      <c r="I27">
        <f>Raw_Data!$F27-Raw_Data!$H27</f>
        <v>200</v>
      </c>
      <c r="J27">
        <f>Raw_Data!$I27/Raw_Data!$F27</f>
        <v>0.22222222222222221</v>
      </c>
    </row>
    <row r="28" spans="1:10" x14ac:dyDescent="0.3">
      <c r="A28">
        <v>1007</v>
      </c>
      <c r="B28" s="1">
        <v>45669</v>
      </c>
      <c r="C28" t="s">
        <v>15</v>
      </c>
      <c r="D28" t="s">
        <v>22</v>
      </c>
      <c r="E28" t="s">
        <v>21</v>
      </c>
      <c r="F28">
        <v>350</v>
      </c>
      <c r="G28">
        <v>7</v>
      </c>
      <c r="H28">
        <v>700</v>
      </c>
      <c r="I28">
        <f>Raw_Data!$F28-Raw_Data!$H28</f>
        <v>-350</v>
      </c>
      <c r="J28">
        <f>Raw_Data!$I28/Raw_Data!$F28</f>
        <v>-1</v>
      </c>
    </row>
    <row r="29" spans="1:10" x14ac:dyDescent="0.3">
      <c r="A29">
        <v>1008</v>
      </c>
      <c r="B29" s="1">
        <v>45672</v>
      </c>
      <c r="C29" t="s">
        <v>17</v>
      </c>
      <c r="D29" t="s">
        <v>23</v>
      </c>
      <c r="E29" t="s">
        <v>21</v>
      </c>
      <c r="F29">
        <v>500</v>
      </c>
      <c r="G29">
        <v>4</v>
      </c>
      <c r="H29">
        <v>700</v>
      </c>
      <c r="I29">
        <f>Raw_Data!$F29-Raw_Data!$H29</f>
        <v>-200</v>
      </c>
      <c r="J29">
        <f>Raw_Data!$I29/Raw_Data!$F29</f>
        <v>-0.4</v>
      </c>
    </row>
    <row r="30" spans="1:10" x14ac:dyDescent="0.3">
      <c r="A30">
        <v>1009</v>
      </c>
      <c r="B30" s="1">
        <v>45675</v>
      </c>
      <c r="C30" t="s">
        <v>10</v>
      </c>
      <c r="D30" t="s">
        <v>24</v>
      </c>
      <c r="E30" t="s">
        <v>12</v>
      </c>
      <c r="F30">
        <v>950</v>
      </c>
      <c r="G30">
        <v>2</v>
      </c>
      <c r="H30">
        <v>700</v>
      </c>
      <c r="I30">
        <f>Raw_Data!$F30-Raw_Data!$H30</f>
        <v>250</v>
      </c>
      <c r="J30">
        <f>Raw_Data!$I30/Raw_Data!$F30</f>
        <v>0.26315789473684209</v>
      </c>
    </row>
    <row r="31" spans="1:10" x14ac:dyDescent="0.3">
      <c r="A31">
        <v>1010</v>
      </c>
      <c r="B31" s="1">
        <v>45677</v>
      </c>
      <c r="C31" t="s">
        <v>13</v>
      </c>
      <c r="D31" t="s">
        <v>25</v>
      </c>
      <c r="E31" t="s">
        <v>12</v>
      </c>
      <c r="F31">
        <v>1100</v>
      </c>
      <c r="G31">
        <v>2</v>
      </c>
      <c r="H31">
        <v>700</v>
      </c>
      <c r="I31">
        <f>Raw_Data!$F31-Raw_Data!$H31</f>
        <v>400</v>
      </c>
      <c r="J31">
        <f>Raw_Data!$I31/Raw_Data!$F31</f>
        <v>0.36363636363636365</v>
      </c>
    </row>
    <row r="32" spans="1:10" x14ac:dyDescent="0.3">
      <c r="A32">
        <v>1001</v>
      </c>
      <c r="B32" s="1">
        <v>45658</v>
      </c>
      <c r="C32" t="s">
        <v>10</v>
      </c>
      <c r="D32" t="s">
        <v>11</v>
      </c>
      <c r="E32" t="s">
        <v>12</v>
      </c>
      <c r="F32">
        <v>1200</v>
      </c>
      <c r="G32">
        <v>2</v>
      </c>
      <c r="H32">
        <v>700</v>
      </c>
      <c r="I32">
        <f>Raw_Data!$F32-Raw_Data!$H32</f>
        <v>500</v>
      </c>
      <c r="J32">
        <f>Raw_Data!$I32/Raw_Data!$F32</f>
        <v>0.41666666666666669</v>
      </c>
    </row>
    <row r="33" spans="1:10" x14ac:dyDescent="0.3">
      <c r="A33">
        <v>1002</v>
      </c>
      <c r="B33" s="1">
        <v>45659</v>
      </c>
      <c r="C33" t="s">
        <v>13</v>
      </c>
      <c r="D33" t="s">
        <v>14</v>
      </c>
      <c r="E33" t="s">
        <v>12</v>
      </c>
      <c r="F33">
        <v>200</v>
      </c>
      <c r="G33">
        <v>5</v>
      </c>
      <c r="H33">
        <v>700</v>
      </c>
      <c r="I33">
        <f>Raw_Data!$F33-Raw_Data!$H33</f>
        <v>-500</v>
      </c>
      <c r="J33">
        <f>Raw_Data!$I33/Raw_Data!$F33</f>
        <v>-2.5</v>
      </c>
    </row>
    <row r="34" spans="1:10" x14ac:dyDescent="0.3">
      <c r="A34">
        <v>1003</v>
      </c>
      <c r="B34" s="1">
        <v>45660</v>
      </c>
      <c r="C34" t="s">
        <v>15</v>
      </c>
      <c r="D34" t="s">
        <v>16</v>
      </c>
      <c r="E34" t="s">
        <v>12</v>
      </c>
      <c r="F34">
        <v>450</v>
      </c>
      <c r="G34">
        <v>3</v>
      </c>
      <c r="H34">
        <v>700</v>
      </c>
      <c r="I34">
        <f>Raw_Data!$F34-Raw_Data!$H34</f>
        <v>-250</v>
      </c>
      <c r="J34">
        <f>Raw_Data!$I34/Raw_Data!$F34</f>
        <v>-0.55555555555555558</v>
      </c>
    </row>
    <row r="35" spans="1:10" x14ac:dyDescent="0.3">
      <c r="A35">
        <v>1004</v>
      </c>
      <c r="B35" s="1">
        <v>45662</v>
      </c>
      <c r="C35" t="s">
        <v>17</v>
      </c>
      <c r="D35" t="s">
        <v>18</v>
      </c>
      <c r="E35" t="s">
        <v>12</v>
      </c>
      <c r="F35">
        <v>800</v>
      </c>
      <c r="G35">
        <v>2</v>
      </c>
      <c r="H35">
        <v>700</v>
      </c>
      <c r="I35">
        <f>Raw_Data!$F35-Raw_Data!$H35</f>
        <v>100</v>
      </c>
      <c r="J35">
        <f>Raw_Data!$I35/Raw_Data!$F35</f>
        <v>0.125</v>
      </c>
    </row>
    <row r="36" spans="1:10" x14ac:dyDescent="0.3">
      <c r="A36">
        <v>1005</v>
      </c>
      <c r="B36" s="1">
        <v>45665</v>
      </c>
      <c r="C36" t="s">
        <v>10</v>
      </c>
      <c r="D36" t="s">
        <v>19</v>
      </c>
      <c r="E36" t="s">
        <v>12</v>
      </c>
      <c r="F36">
        <v>1500</v>
      </c>
      <c r="G36">
        <v>1</v>
      </c>
      <c r="H36">
        <v>700</v>
      </c>
      <c r="I36">
        <f>Raw_Data!$F36-Raw_Data!$H36</f>
        <v>800</v>
      </c>
      <c r="J36">
        <f>Raw_Data!$I36/Raw_Data!$F36</f>
        <v>0.53333333333333333</v>
      </c>
    </row>
    <row r="37" spans="1:10" x14ac:dyDescent="0.3">
      <c r="A37">
        <v>1006</v>
      </c>
      <c r="B37" s="1">
        <v>45667</v>
      </c>
      <c r="C37" t="s">
        <v>13</v>
      </c>
      <c r="D37" t="s">
        <v>20</v>
      </c>
      <c r="E37" t="s">
        <v>21</v>
      </c>
      <c r="F37">
        <v>900</v>
      </c>
      <c r="G37">
        <v>3</v>
      </c>
      <c r="H37">
        <v>700</v>
      </c>
      <c r="I37">
        <f>Raw_Data!$F37-Raw_Data!$H37</f>
        <v>200</v>
      </c>
      <c r="J37">
        <f>Raw_Data!$I37/Raw_Data!$F37</f>
        <v>0.22222222222222221</v>
      </c>
    </row>
    <row r="38" spans="1:10" x14ac:dyDescent="0.3">
      <c r="A38">
        <v>1007</v>
      </c>
      <c r="B38" s="1">
        <v>45669</v>
      </c>
      <c r="C38" t="s">
        <v>15</v>
      </c>
      <c r="D38" t="s">
        <v>22</v>
      </c>
      <c r="E38" t="s">
        <v>21</v>
      </c>
      <c r="F38">
        <v>350</v>
      </c>
      <c r="G38">
        <v>7</v>
      </c>
      <c r="H38">
        <v>700</v>
      </c>
      <c r="I38">
        <f>Raw_Data!$F38-Raw_Data!$H38</f>
        <v>-350</v>
      </c>
      <c r="J38">
        <f>Raw_Data!$I38/Raw_Data!$F38</f>
        <v>-1</v>
      </c>
    </row>
    <row r="39" spans="1:10" x14ac:dyDescent="0.3">
      <c r="A39">
        <v>1008</v>
      </c>
      <c r="B39" s="1">
        <v>45672</v>
      </c>
      <c r="C39" t="s">
        <v>17</v>
      </c>
      <c r="D39" t="s">
        <v>23</v>
      </c>
      <c r="E39" t="s">
        <v>21</v>
      </c>
      <c r="F39">
        <v>500</v>
      </c>
      <c r="G39">
        <v>4</v>
      </c>
      <c r="H39">
        <v>700</v>
      </c>
      <c r="I39">
        <f>Raw_Data!$F39-Raw_Data!$H39</f>
        <v>-200</v>
      </c>
      <c r="J39">
        <f>Raw_Data!$I39/Raw_Data!$F39</f>
        <v>-0.4</v>
      </c>
    </row>
    <row r="40" spans="1:10" x14ac:dyDescent="0.3">
      <c r="A40">
        <v>1009</v>
      </c>
      <c r="B40" s="1">
        <v>45675</v>
      </c>
      <c r="C40" t="s">
        <v>10</v>
      </c>
      <c r="D40" t="s">
        <v>24</v>
      </c>
      <c r="E40" t="s">
        <v>12</v>
      </c>
      <c r="F40">
        <v>950</v>
      </c>
      <c r="G40">
        <v>2</v>
      </c>
      <c r="H40">
        <v>700</v>
      </c>
      <c r="I40">
        <f>Raw_Data!$F40-Raw_Data!$H40</f>
        <v>250</v>
      </c>
      <c r="J40">
        <f>Raw_Data!$I40/Raw_Data!$F40</f>
        <v>0.26315789473684209</v>
      </c>
    </row>
    <row r="41" spans="1:10" x14ac:dyDescent="0.3">
      <c r="A41">
        <v>1010</v>
      </c>
      <c r="B41" s="1">
        <v>45677</v>
      </c>
      <c r="C41" t="s">
        <v>13</v>
      </c>
      <c r="D41" t="s">
        <v>25</v>
      </c>
      <c r="E41" t="s">
        <v>12</v>
      </c>
      <c r="F41">
        <v>1100</v>
      </c>
      <c r="G41">
        <v>2</v>
      </c>
      <c r="H41">
        <v>700</v>
      </c>
      <c r="I41">
        <f>Raw_Data!$F41-Raw_Data!$H41</f>
        <v>400</v>
      </c>
      <c r="J41">
        <f>Raw_Data!$I41/Raw_Data!$F41</f>
        <v>0.36363636363636365</v>
      </c>
    </row>
    <row r="42" spans="1:10" x14ac:dyDescent="0.3">
      <c r="A42">
        <v>1001</v>
      </c>
      <c r="B42" s="1">
        <v>45658</v>
      </c>
      <c r="C42" t="s">
        <v>10</v>
      </c>
      <c r="D42" t="s">
        <v>11</v>
      </c>
      <c r="E42" t="s">
        <v>12</v>
      </c>
      <c r="F42">
        <v>1200</v>
      </c>
      <c r="G42">
        <v>2</v>
      </c>
      <c r="H42">
        <v>700</v>
      </c>
      <c r="I42">
        <f>Raw_Data!$F42-Raw_Data!$H42</f>
        <v>500</v>
      </c>
      <c r="J42">
        <f>Raw_Data!$I42/Raw_Data!$F42</f>
        <v>0.41666666666666669</v>
      </c>
    </row>
    <row r="43" spans="1:10" x14ac:dyDescent="0.3">
      <c r="A43">
        <v>1002</v>
      </c>
      <c r="B43" s="1">
        <v>45659</v>
      </c>
      <c r="C43" t="s">
        <v>13</v>
      </c>
      <c r="D43" t="s">
        <v>14</v>
      </c>
      <c r="E43" t="s">
        <v>12</v>
      </c>
      <c r="F43">
        <v>200</v>
      </c>
      <c r="G43">
        <v>5</v>
      </c>
      <c r="H43">
        <v>700</v>
      </c>
      <c r="I43">
        <f>Raw_Data!$F43-Raw_Data!$H43</f>
        <v>-500</v>
      </c>
      <c r="J43">
        <f>Raw_Data!$I43/Raw_Data!$F43</f>
        <v>-2.5</v>
      </c>
    </row>
    <row r="44" spans="1:10" x14ac:dyDescent="0.3">
      <c r="A44">
        <v>1003</v>
      </c>
      <c r="B44" s="1">
        <v>45660</v>
      </c>
      <c r="C44" t="s">
        <v>15</v>
      </c>
      <c r="D44" t="s">
        <v>16</v>
      </c>
      <c r="E44" t="s">
        <v>12</v>
      </c>
      <c r="F44">
        <v>450</v>
      </c>
      <c r="G44">
        <v>3</v>
      </c>
      <c r="H44">
        <v>700</v>
      </c>
      <c r="I44">
        <f>Raw_Data!$F44-Raw_Data!$H44</f>
        <v>-250</v>
      </c>
      <c r="J44">
        <f>Raw_Data!$I44/Raw_Data!$F44</f>
        <v>-0.55555555555555558</v>
      </c>
    </row>
    <row r="45" spans="1:10" x14ac:dyDescent="0.3">
      <c r="A45">
        <v>1004</v>
      </c>
      <c r="B45" s="1">
        <v>45662</v>
      </c>
      <c r="C45" t="s">
        <v>17</v>
      </c>
      <c r="D45" t="s">
        <v>18</v>
      </c>
      <c r="E45" t="s">
        <v>12</v>
      </c>
      <c r="F45">
        <v>800</v>
      </c>
      <c r="G45">
        <v>2</v>
      </c>
      <c r="H45">
        <v>700</v>
      </c>
      <c r="I45">
        <f>Raw_Data!$F45-Raw_Data!$H45</f>
        <v>100</v>
      </c>
      <c r="J45">
        <f>Raw_Data!$I45/Raw_Data!$F45</f>
        <v>0.125</v>
      </c>
    </row>
    <row r="46" spans="1:10" x14ac:dyDescent="0.3">
      <c r="A46">
        <v>1005</v>
      </c>
      <c r="B46" s="1">
        <v>45665</v>
      </c>
      <c r="C46" t="s">
        <v>10</v>
      </c>
      <c r="D46" t="s">
        <v>19</v>
      </c>
      <c r="E46" t="s">
        <v>12</v>
      </c>
      <c r="F46">
        <v>1500</v>
      </c>
      <c r="G46">
        <v>1</v>
      </c>
      <c r="H46">
        <v>700</v>
      </c>
      <c r="I46">
        <f>Raw_Data!$F46-Raw_Data!$H46</f>
        <v>800</v>
      </c>
      <c r="J46">
        <f>Raw_Data!$I46/Raw_Data!$F46</f>
        <v>0.53333333333333333</v>
      </c>
    </row>
    <row r="47" spans="1:10" x14ac:dyDescent="0.3">
      <c r="A47">
        <v>1006</v>
      </c>
      <c r="B47" s="1">
        <v>45667</v>
      </c>
      <c r="C47" t="s">
        <v>13</v>
      </c>
      <c r="D47" t="s">
        <v>20</v>
      </c>
      <c r="E47" t="s">
        <v>21</v>
      </c>
      <c r="F47">
        <v>900</v>
      </c>
      <c r="G47">
        <v>3</v>
      </c>
      <c r="H47">
        <v>700</v>
      </c>
      <c r="I47">
        <f>Raw_Data!$F47-Raw_Data!$H47</f>
        <v>200</v>
      </c>
      <c r="J47">
        <f>Raw_Data!$I47/Raw_Data!$F47</f>
        <v>0.22222222222222221</v>
      </c>
    </row>
    <row r="48" spans="1:10" x14ac:dyDescent="0.3">
      <c r="A48">
        <v>1007</v>
      </c>
      <c r="B48" s="1">
        <v>45669</v>
      </c>
      <c r="C48" t="s">
        <v>15</v>
      </c>
      <c r="D48" t="s">
        <v>22</v>
      </c>
      <c r="E48" t="s">
        <v>21</v>
      </c>
      <c r="F48">
        <v>350</v>
      </c>
      <c r="G48">
        <v>7</v>
      </c>
      <c r="H48">
        <v>700</v>
      </c>
      <c r="I48">
        <f>Raw_Data!$F48-Raw_Data!$H48</f>
        <v>-350</v>
      </c>
      <c r="J48">
        <f>Raw_Data!$I48/Raw_Data!$F48</f>
        <v>-1</v>
      </c>
    </row>
    <row r="49" spans="1:10" x14ac:dyDescent="0.3">
      <c r="A49">
        <v>1008</v>
      </c>
      <c r="B49" s="1">
        <v>45672</v>
      </c>
      <c r="C49" t="s">
        <v>17</v>
      </c>
      <c r="D49" t="s">
        <v>23</v>
      </c>
      <c r="E49" t="s">
        <v>21</v>
      </c>
      <c r="F49">
        <v>500</v>
      </c>
      <c r="G49">
        <v>4</v>
      </c>
      <c r="H49">
        <v>700</v>
      </c>
      <c r="I49">
        <f>Raw_Data!$F49-Raw_Data!$H49</f>
        <v>-200</v>
      </c>
      <c r="J49">
        <f>Raw_Data!$I49/Raw_Data!$F49</f>
        <v>-0.4</v>
      </c>
    </row>
    <row r="50" spans="1:10" x14ac:dyDescent="0.3">
      <c r="A50">
        <v>1009</v>
      </c>
      <c r="B50" s="1">
        <v>45675</v>
      </c>
      <c r="C50" t="s">
        <v>10</v>
      </c>
      <c r="D50" t="s">
        <v>24</v>
      </c>
      <c r="E50" t="s">
        <v>12</v>
      </c>
      <c r="F50">
        <v>950</v>
      </c>
      <c r="G50">
        <v>2</v>
      </c>
      <c r="H50">
        <v>700</v>
      </c>
      <c r="I50">
        <f>Raw_Data!$F50-Raw_Data!$H50</f>
        <v>250</v>
      </c>
      <c r="J50">
        <f>Raw_Data!$I50/Raw_Data!$F50</f>
        <v>0.26315789473684209</v>
      </c>
    </row>
    <row r="51" spans="1:10" x14ac:dyDescent="0.3">
      <c r="A51">
        <v>1010</v>
      </c>
      <c r="B51" s="1">
        <v>45677</v>
      </c>
      <c r="C51" t="s">
        <v>13</v>
      </c>
      <c r="D51" t="s">
        <v>25</v>
      </c>
      <c r="E51" t="s">
        <v>12</v>
      </c>
      <c r="F51">
        <v>1100</v>
      </c>
      <c r="G51">
        <v>2</v>
      </c>
      <c r="H51">
        <v>700</v>
      </c>
      <c r="I51">
        <f>Raw_Data!$F51-Raw_Data!$H51</f>
        <v>400</v>
      </c>
      <c r="J51">
        <f>Raw_Data!$I51/Raw_Data!$F51</f>
        <v>0.36363636363636365</v>
      </c>
    </row>
    <row r="52" spans="1:10" x14ac:dyDescent="0.3">
      <c r="A52">
        <v>1001</v>
      </c>
      <c r="B52" s="1">
        <v>45658</v>
      </c>
      <c r="C52" t="s">
        <v>10</v>
      </c>
      <c r="D52" t="s">
        <v>11</v>
      </c>
      <c r="E52" t="s">
        <v>12</v>
      </c>
      <c r="F52">
        <v>1200</v>
      </c>
      <c r="G52">
        <v>2</v>
      </c>
      <c r="H52">
        <v>700</v>
      </c>
      <c r="I52">
        <f>Raw_Data!$F52-Raw_Data!$H52</f>
        <v>500</v>
      </c>
      <c r="J52">
        <f>Raw_Data!$I52/Raw_Data!$F52</f>
        <v>0.41666666666666669</v>
      </c>
    </row>
    <row r="53" spans="1:10" x14ac:dyDescent="0.3">
      <c r="A53">
        <v>1002</v>
      </c>
      <c r="B53" s="1">
        <v>45659</v>
      </c>
      <c r="C53" t="s">
        <v>13</v>
      </c>
      <c r="D53" t="s">
        <v>14</v>
      </c>
      <c r="E53" t="s">
        <v>12</v>
      </c>
      <c r="F53">
        <v>200</v>
      </c>
      <c r="G53">
        <v>5</v>
      </c>
      <c r="H53">
        <v>700</v>
      </c>
      <c r="I53">
        <f>Raw_Data!$F53-Raw_Data!$H53</f>
        <v>-500</v>
      </c>
      <c r="J53">
        <f>Raw_Data!$I53/Raw_Data!$F53</f>
        <v>-2.5</v>
      </c>
    </row>
    <row r="54" spans="1:10" x14ac:dyDescent="0.3">
      <c r="A54">
        <v>1003</v>
      </c>
      <c r="B54" s="1">
        <v>45660</v>
      </c>
      <c r="C54" t="s">
        <v>15</v>
      </c>
      <c r="D54" t="s">
        <v>16</v>
      </c>
      <c r="E54" t="s">
        <v>12</v>
      </c>
      <c r="F54">
        <v>450</v>
      </c>
      <c r="G54">
        <v>3</v>
      </c>
      <c r="H54">
        <v>700</v>
      </c>
      <c r="I54">
        <f>Raw_Data!$F54-Raw_Data!$H54</f>
        <v>-250</v>
      </c>
      <c r="J54">
        <f>Raw_Data!$I54/Raw_Data!$F54</f>
        <v>-0.55555555555555558</v>
      </c>
    </row>
    <row r="55" spans="1:10" x14ac:dyDescent="0.3">
      <c r="A55">
        <v>1004</v>
      </c>
      <c r="B55" s="1">
        <v>45662</v>
      </c>
      <c r="C55" t="s">
        <v>17</v>
      </c>
      <c r="D55" t="s">
        <v>18</v>
      </c>
      <c r="E55" t="s">
        <v>12</v>
      </c>
      <c r="F55">
        <v>800</v>
      </c>
      <c r="G55">
        <v>2</v>
      </c>
      <c r="H55">
        <v>700</v>
      </c>
      <c r="I55">
        <f>Raw_Data!$F55-Raw_Data!$H55</f>
        <v>100</v>
      </c>
      <c r="J55">
        <f>Raw_Data!$I55/Raw_Data!$F55</f>
        <v>0.125</v>
      </c>
    </row>
    <row r="56" spans="1:10" x14ac:dyDescent="0.3">
      <c r="A56">
        <v>1005</v>
      </c>
      <c r="B56" s="1">
        <v>45665</v>
      </c>
      <c r="C56" t="s">
        <v>10</v>
      </c>
      <c r="D56" t="s">
        <v>19</v>
      </c>
      <c r="E56" t="s">
        <v>12</v>
      </c>
      <c r="F56">
        <v>1500</v>
      </c>
      <c r="G56">
        <v>1</v>
      </c>
      <c r="H56">
        <v>700</v>
      </c>
      <c r="I56">
        <f>Raw_Data!$F56-Raw_Data!$H56</f>
        <v>800</v>
      </c>
      <c r="J56">
        <f>Raw_Data!$I56/Raw_Data!$F56</f>
        <v>0.53333333333333333</v>
      </c>
    </row>
    <row r="57" spans="1:10" x14ac:dyDescent="0.3">
      <c r="A57">
        <v>1006</v>
      </c>
      <c r="B57" s="1">
        <v>45667</v>
      </c>
      <c r="C57" t="s">
        <v>13</v>
      </c>
      <c r="D57" t="s">
        <v>20</v>
      </c>
      <c r="E57" t="s">
        <v>21</v>
      </c>
      <c r="F57">
        <v>900</v>
      </c>
      <c r="G57">
        <v>3</v>
      </c>
      <c r="H57">
        <v>700</v>
      </c>
      <c r="I57">
        <f>Raw_Data!$F57-Raw_Data!$H57</f>
        <v>200</v>
      </c>
      <c r="J57">
        <f>Raw_Data!$I57/Raw_Data!$F57</f>
        <v>0.22222222222222221</v>
      </c>
    </row>
    <row r="58" spans="1:10" x14ac:dyDescent="0.3">
      <c r="A58">
        <v>1007</v>
      </c>
      <c r="B58" s="1">
        <v>45669</v>
      </c>
      <c r="C58" t="s">
        <v>15</v>
      </c>
      <c r="D58" t="s">
        <v>22</v>
      </c>
      <c r="E58" t="s">
        <v>21</v>
      </c>
      <c r="F58">
        <v>350</v>
      </c>
      <c r="G58">
        <v>7</v>
      </c>
      <c r="H58">
        <v>700</v>
      </c>
      <c r="I58">
        <f>Raw_Data!$F58-Raw_Data!$H58</f>
        <v>-350</v>
      </c>
      <c r="J58">
        <f>Raw_Data!$I58/Raw_Data!$F58</f>
        <v>-1</v>
      </c>
    </row>
    <row r="59" spans="1:10" x14ac:dyDescent="0.3">
      <c r="A59">
        <v>1008</v>
      </c>
      <c r="B59" s="1">
        <v>45672</v>
      </c>
      <c r="C59" t="s">
        <v>17</v>
      </c>
      <c r="D59" t="s">
        <v>23</v>
      </c>
      <c r="E59" t="s">
        <v>21</v>
      </c>
      <c r="F59">
        <v>500</v>
      </c>
      <c r="G59">
        <v>4</v>
      </c>
      <c r="H59">
        <v>700</v>
      </c>
      <c r="I59">
        <f>Raw_Data!$F59-Raw_Data!$H59</f>
        <v>-200</v>
      </c>
      <c r="J59">
        <f>Raw_Data!$I59/Raw_Data!$F59</f>
        <v>-0.4</v>
      </c>
    </row>
    <row r="60" spans="1:10" x14ac:dyDescent="0.3">
      <c r="A60">
        <v>1009</v>
      </c>
      <c r="B60" s="1">
        <v>45675</v>
      </c>
      <c r="C60" t="s">
        <v>10</v>
      </c>
      <c r="D60" t="s">
        <v>24</v>
      </c>
      <c r="E60" t="s">
        <v>12</v>
      </c>
      <c r="F60">
        <v>950</v>
      </c>
      <c r="G60">
        <v>2</v>
      </c>
      <c r="H60">
        <v>700</v>
      </c>
      <c r="I60">
        <f>Raw_Data!$F60-Raw_Data!$H60</f>
        <v>250</v>
      </c>
      <c r="J60">
        <f>Raw_Data!$I60/Raw_Data!$F60</f>
        <v>0.26315789473684209</v>
      </c>
    </row>
    <row r="61" spans="1:10" x14ac:dyDescent="0.3">
      <c r="A61">
        <v>1010</v>
      </c>
      <c r="B61" s="1">
        <v>45677</v>
      </c>
      <c r="C61" t="s">
        <v>13</v>
      </c>
      <c r="D61" t="s">
        <v>25</v>
      </c>
      <c r="E61" t="s">
        <v>12</v>
      </c>
      <c r="F61">
        <v>1100</v>
      </c>
      <c r="G61">
        <v>2</v>
      </c>
      <c r="H61">
        <v>700</v>
      </c>
      <c r="I61">
        <f>Raw_Data!$F61-Raw_Data!$H61</f>
        <v>400</v>
      </c>
      <c r="J61">
        <f>Raw_Data!$I61/Raw_Data!$F61</f>
        <v>0.36363636363636365</v>
      </c>
    </row>
    <row r="62" spans="1:10" x14ac:dyDescent="0.3">
      <c r="A62">
        <v>1001</v>
      </c>
      <c r="B62" s="1">
        <v>45658</v>
      </c>
      <c r="C62" t="s">
        <v>10</v>
      </c>
      <c r="D62" t="s">
        <v>11</v>
      </c>
      <c r="E62" t="s">
        <v>12</v>
      </c>
      <c r="F62">
        <v>1200</v>
      </c>
      <c r="G62">
        <v>2</v>
      </c>
      <c r="H62">
        <v>700</v>
      </c>
      <c r="I62">
        <f>Raw_Data!$F62-Raw_Data!$H62</f>
        <v>500</v>
      </c>
      <c r="J62">
        <f>Raw_Data!$I62/Raw_Data!$F62</f>
        <v>0.41666666666666669</v>
      </c>
    </row>
    <row r="63" spans="1:10" x14ac:dyDescent="0.3">
      <c r="A63">
        <v>1002</v>
      </c>
      <c r="B63" s="1">
        <v>45659</v>
      </c>
      <c r="C63" t="s">
        <v>13</v>
      </c>
      <c r="D63" t="s">
        <v>14</v>
      </c>
      <c r="E63" t="s">
        <v>12</v>
      </c>
      <c r="F63">
        <v>200</v>
      </c>
      <c r="G63">
        <v>5</v>
      </c>
      <c r="H63">
        <v>700</v>
      </c>
      <c r="I63">
        <f>Raw_Data!$F63-Raw_Data!$H63</f>
        <v>-500</v>
      </c>
      <c r="J63">
        <f>Raw_Data!$I63/Raw_Data!$F63</f>
        <v>-2.5</v>
      </c>
    </row>
    <row r="64" spans="1:10" x14ac:dyDescent="0.3">
      <c r="A64">
        <v>1003</v>
      </c>
      <c r="B64" s="1">
        <v>45660</v>
      </c>
      <c r="C64" t="s">
        <v>15</v>
      </c>
      <c r="D64" t="s">
        <v>16</v>
      </c>
      <c r="E64" t="s">
        <v>12</v>
      </c>
      <c r="F64">
        <v>450</v>
      </c>
      <c r="G64">
        <v>3</v>
      </c>
      <c r="H64">
        <v>700</v>
      </c>
      <c r="I64">
        <f>Raw_Data!$F64-Raw_Data!$H64</f>
        <v>-250</v>
      </c>
      <c r="J64">
        <f>Raw_Data!$I64/Raw_Data!$F64</f>
        <v>-0.55555555555555558</v>
      </c>
    </row>
    <row r="65" spans="1:10" x14ac:dyDescent="0.3">
      <c r="A65">
        <v>1004</v>
      </c>
      <c r="B65" s="1">
        <v>45662</v>
      </c>
      <c r="C65" t="s">
        <v>17</v>
      </c>
      <c r="D65" t="s">
        <v>18</v>
      </c>
      <c r="E65" t="s">
        <v>12</v>
      </c>
      <c r="F65">
        <v>800</v>
      </c>
      <c r="G65">
        <v>2</v>
      </c>
      <c r="H65">
        <v>700</v>
      </c>
      <c r="I65">
        <f>Raw_Data!$F65-Raw_Data!$H65</f>
        <v>100</v>
      </c>
      <c r="J65">
        <f>Raw_Data!$I65/Raw_Data!$F65</f>
        <v>0.125</v>
      </c>
    </row>
    <row r="66" spans="1:10" x14ac:dyDescent="0.3">
      <c r="A66">
        <v>1005</v>
      </c>
      <c r="B66" s="1">
        <v>45665</v>
      </c>
      <c r="C66" t="s">
        <v>10</v>
      </c>
      <c r="D66" t="s">
        <v>19</v>
      </c>
      <c r="E66" t="s">
        <v>12</v>
      </c>
      <c r="F66">
        <v>1500</v>
      </c>
      <c r="G66">
        <v>1</v>
      </c>
      <c r="H66">
        <v>700</v>
      </c>
      <c r="I66">
        <f>Raw_Data!$F66-Raw_Data!$H66</f>
        <v>800</v>
      </c>
      <c r="J66">
        <f>Raw_Data!$I66/Raw_Data!$F66</f>
        <v>0.53333333333333333</v>
      </c>
    </row>
    <row r="67" spans="1:10" x14ac:dyDescent="0.3">
      <c r="A67">
        <v>1006</v>
      </c>
      <c r="B67" s="1">
        <v>45667</v>
      </c>
      <c r="C67" t="s">
        <v>13</v>
      </c>
      <c r="D67" t="s">
        <v>20</v>
      </c>
      <c r="E67" t="s">
        <v>21</v>
      </c>
      <c r="F67">
        <v>900</v>
      </c>
      <c r="G67">
        <v>3</v>
      </c>
      <c r="H67">
        <v>700</v>
      </c>
      <c r="I67">
        <f>Raw_Data!$F67-Raw_Data!$H67</f>
        <v>200</v>
      </c>
      <c r="J67">
        <f>Raw_Data!$I67/Raw_Data!$F67</f>
        <v>0.22222222222222221</v>
      </c>
    </row>
    <row r="68" spans="1:10" x14ac:dyDescent="0.3">
      <c r="A68">
        <v>1007</v>
      </c>
      <c r="B68" s="1">
        <v>45669</v>
      </c>
      <c r="C68" t="s">
        <v>15</v>
      </c>
      <c r="D68" t="s">
        <v>22</v>
      </c>
      <c r="E68" t="s">
        <v>21</v>
      </c>
      <c r="F68">
        <v>350</v>
      </c>
      <c r="G68">
        <v>7</v>
      </c>
      <c r="H68">
        <v>700</v>
      </c>
      <c r="I68">
        <f>Raw_Data!$F68-Raw_Data!$H68</f>
        <v>-350</v>
      </c>
      <c r="J68">
        <f>Raw_Data!$I68/Raw_Data!$F68</f>
        <v>-1</v>
      </c>
    </row>
    <row r="69" spans="1:10" x14ac:dyDescent="0.3">
      <c r="A69">
        <v>1008</v>
      </c>
      <c r="B69" s="1">
        <v>45672</v>
      </c>
      <c r="C69" t="s">
        <v>17</v>
      </c>
      <c r="D69" t="s">
        <v>23</v>
      </c>
      <c r="E69" t="s">
        <v>21</v>
      </c>
      <c r="F69">
        <v>500</v>
      </c>
      <c r="G69">
        <v>4</v>
      </c>
      <c r="H69">
        <v>700</v>
      </c>
      <c r="I69">
        <f>Raw_Data!$F69-Raw_Data!$H69</f>
        <v>-200</v>
      </c>
      <c r="J69">
        <f>Raw_Data!$I69/Raw_Data!$F69</f>
        <v>-0.4</v>
      </c>
    </row>
    <row r="70" spans="1:10" x14ac:dyDescent="0.3">
      <c r="A70">
        <v>1009</v>
      </c>
      <c r="B70" s="1">
        <v>45675</v>
      </c>
      <c r="C70" t="s">
        <v>10</v>
      </c>
      <c r="D70" t="s">
        <v>24</v>
      </c>
      <c r="E70" t="s">
        <v>12</v>
      </c>
      <c r="F70">
        <v>950</v>
      </c>
      <c r="G70">
        <v>2</v>
      </c>
      <c r="H70">
        <v>700</v>
      </c>
      <c r="I70">
        <f>Raw_Data!$F70-Raw_Data!$H70</f>
        <v>250</v>
      </c>
      <c r="J70">
        <f>Raw_Data!$I70/Raw_Data!$F70</f>
        <v>0.26315789473684209</v>
      </c>
    </row>
    <row r="71" spans="1:10" x14ac:dyDescent="0.3">
      <c r="A71">
        <v>1010</v>
      </c>
      <c r="B71" s="1">
        <v>45677</v>
      </c>
      <c r="C71" t="s">
        <v>13</v>
      </c>
      <c r="D71" t="s">
        <v>25</v>
      </c>
      <c r="E71" t="s">
        <v>12</v>
      </c>
      <c r="F71">
        <v>1100</v>
      </c>
      <c r="G71">
        <v>2</v>
      </c>
      <c r="H71">
        <v>700</v>
      </c>
      <c r="I71">
        <f>Raw_Data!$F71-Raw_Data!$H71</f>
        <v>400</v>
      </c>
      <c r="J71">
        <f>Raw_Data!$I71/Raw_Data!$F71</f>
        <v>0.36363636363636365</v>
      </c>
    </row>
    <row r="72" spans="1:10" x14ac:dyDescent="0.3">
      <c r="A72">
        <v>1001</v>
      </c>
      <c r="B72" s="1">
        <v>45658</v>
      </c>
      <c r="C72" t="s">
        <v>10</v>
      </c>
      <c r="D72" t="s">
        <v>11</v>
      </c>
      <c r="E72" t="s">
        <v>12</v>
      </c>
      <c r="F72">
        <v>1200</v>
      </c>
      <c r="G72">
        <v>2</v>
      </c>
      <c r="H72">
        <v>700</v>
      </c>
      <c r="I72">
        <f>Raw_Data!$F72-Raw_Data!$H72</f>
        <v>500</v>
      </c>
      <c r="J72">
        <f>Raw_Data!$I72/Raw_Data!$F72</f>
        <v>0.41666666666666669</v>
      </c>
    </row>
    <row r="73" spans="1:10" x14ac:dyDescent="0.3">
      <c r="A73">
        <v>1002</v>
      </c>
      <c r="B73" s="1">
        <v>45659</v>
      </c>
      <c r="C73" t="s">
        <v>13</v>
      </c>
      <c r="D73" t="s">
        <v>14</v>
      </c>
      <c r="E73" t="s">
        <v>12</v>
      </c>
      <c r="F73">
        <v>200</v>
      </c>
      <c r="G73">
        <v>5</v>
      </c>
      <c r="H73">
        <v>700</v>
      </c>
      <c r="I73">
        <f>Raw_Data!$F73-Raw_Data!$H73</f>
        <v>-500</v>
      </c>
      <c r="J73">
        <f>Raw_Data!$I73/Raw_Data!$F73</f>
        <v>-2.5</v>
      </c>
    </row>
    <row r="74" spans="1:10" x14ac:dyDescent="0.3">
      <c r="A74">
        <v>1003</v>
      </c>
      <c r="B74" s="1">
        <v>45660</v>
      </c>
      <c r="C74" t="s">
        <v>15</v>
      </c>
      <c r="D74" t="s">
        <v>16</v>
      </c>
      <c r="E74" t="s">
        <v>12</v>
      </c>
      <c r="F74">
        <v>450</v>
      </c>
      <c r="G74">
        <v>3</v>
      </c>
      <c r="H74">
        <v>700</v>
      </c>
      <c r="I74">
        <f>Raw_Data!$F74-Raw_Data!$H74</f>
        <v>-250</v>
      </c>
      <c r="J74">
        <f>Raw_Data!$I74/Raw_Data!$F74</f>
        <v>-0.55555555555555558</v>
      </c>
    </row>
    <row r="75" spans="1:10" x14ac:dyDescent="0.3">
      <c r="A75">
        <v>1004</v>
      </c>
      <c r="B75" s="1">
        <v>45662</v>
      </c>
      <c r="C75" t="s">
        <v>17</v>
      </c>
      <c r="D75" t="s">
        <v>18</v>
      </c>
      <c r="E75" t="s">
        <v>12</v>
      </c>
      <c r="F75">
        <v>800</v>
      </c>
      <c r="G75">
        <v>2</v>
      </c>
      <c r="H75">
        <v>700</v>
      </c>
      <c r="I75">
        <f>Raw_Data!$F75-Raw_Data!$H75</f>
        <v>100</v>
      </c>
      <c r="J75">
        <f>Raw_Data!$I75/Raw_Data!$F75</f>
        <v>0.125</v>
      </c>
    </row>
    <row r="76" spans="1:10" x14ac:dyDescent="0.3">
      <c r="A76">
        <v>1005</v>
      </c>
      <c r="B76" s="1">
        <v>45665</v>
      </c>
      <c r="C76" t="s">
        <v>10</v>
      </c>
      <c r="D76" t="s">
        <v>19</v>
      </c>
      <c r="E76" t="s">
        <v>12</v>
      </c>
      <c r="F76">
        <v>1500</v>
      </c>
      <c r="G76">
        <v>1</v>
      </c>
      <c r="H76">
        <v>700</v>
      </c>
      <c r="I76">
        <f>Raw_Data!$F76-Raw_Data!$H76</f>
        <v>800</v>
      </c>
      <c r="J76">
        <f>Raw_Data!$I76/Raw_Data!$F76</f>
        <v>0.53333333333333333</v>
      </c>
    </row>
    <row r="77" spans="1:10" x14ac:dyDescent="0.3">
      <c r="A77">
        <v>1006</v>
      </c>
      <c r="B77" s="1">
        <v>45667</v>
      </c>
      <c r="C77" t="s">
        <v>13</v>
      </c>
      <c r="D77" t="s">
        <v>20</v>
      </c>
      <c r="E77" t="s">
        <v>21</v>
      </c>
      <c r="F77">
        <v>900</v>
      </c>
      <c r="G77">
        <v>3</v>
      </c>
      <c r="H77">
        <v>700</v>
      </c>
      <c r="I77">
        <f>Raw_Data!$F77-Raw_Data!$H77</f>
        <v>200</v>
      </c>
      <c r="J77">
        <f>Raw_Data!$I77/Raw_Data!$F77</f>
        <v>0.22222222222222221</v>
      </c>
    </row>
    <row r="78" spans="1:10" x14ac:dyDescent="0.3">
      <c r="A78">
        <v>1007</v>
      </c>
      <c r="B78" s="1">
        <v>45669</v>
      </c>
      <c r="C78" t="s">
        <v>15</v>
      </c>
      <c r="D78" t="s">
        <v>22</v>
      </c>
      <c r="E78" t="s">
        <v>21</v>
      </c>
      <c r="F78">
        <v>350</v>
      </c>
      <c r="G78">
        <v>7</v>
      </c>
      <c r="H78">
        <v>700</v>
      </c>
      <c r="I78">
        <f>Raw_Data!$F78-Raw_Data!$H78</f>
        <v>-350</v>
      </c>
      <c r="J78">
        <f>Raw_Data!$I78/Raw_Data!$F78</f>
        <v>-1</v>
      </c>
    </row>
    <row r="79" spans="1:10" x14ac:dyDescent="0.3">
      <c r="A79">
        <v>1008</v>
      </c>
      <c r="B79" s="1">
        <v>45672</v>
      </c>
      <c r="C79" t="s">
        <v>17</v>
      </c>
      <c r="D79" t="s">
        <v>23</v>
      </c>
      <c r="E79" t="s">
        <v>21</v>
      </c>
      <c r="F79">
        <v>500</v>
      </c>
      <c r="G79">
        <v>4</v>
      </c>
      <c r="H79">
        <v>700</v>
      </c>
      <c r="I79">
        <f>Raw_Data!$F79-Raw_Data!$H79</f>
        <v>-200</v>
      </c>
      <c r="J79">
        <f>Raw_Data!$I79/Raw_Data!$F79</f>
        <v>-0.4</v>
      </c>
    </row>
    <row r="80" spans="1:10" x14ac:dyDescent="0.3">
      <c r="A80">
        <v>1009</v>
      </c>
      <c r="B80" s="1">
        <v>45675</v>
      </c>
      <c r="C80" t="s">
        <v>10</v>
      </c>
      <c r="D80" t="s">
        <v>24</v>
      </c>
      <c r="E80" t="s">
        <v>12</v>
      </c>
      <c r="F80">
        <v>950</v>
      </c>
      <c r="G80">
        <v>2</v>
      </c>
      <c r="H80">
        <v>700</v>
      </c>
      <c r="I80">
        <f>Raw_Data!$F80-Raw_Data!$H80</f>
        <v>250</v>
      </c>
      <c r="J80">
        <f>Raw_Data!$I80/Raw_Data!$F80</f>
        <v>0.26315789473684209</v>
      </c>
    </row>
    <row r="81" spans="1:10" x14ac:dyDescent="0.3">
      <c r="A81">
        <v>1010</v>
      </c>
      <c r="B81" s="1">
        <v>45677</v>
      </c>
      <c r="C81" t="s">
        <v>13</v>
      </c>
      <c r="D81" t="s">
        <v>25</v>
      </c>
      <c r="E81" t="s">
        <v>12</v>
      </c>
      <c r="F81">
        <v>1100</v>
      </c>
      <c r="G81">
        <v>2</v>
      </c>
      <c r="H81">
        <v>700</v>
      </c>
      <c r="I81">
        <f>Raw_Data!$F81-Raw_Data!$H81</f>
        <v>400</v>
      </c>
      <c r="J81">
        <f>Raw_Data!$I81/Raw_Data!$F81</f>
        <v>0.36363636363636365</v>
      </c>
    </row>
    <row r="82" spans="1:10" x14ac:dyDescent="0.3">
      <c r="A82">
        <v>1001</v>
      </c>
      <c r="B82" s="1">
        <v>45658</v>
      </c>
      <c r="C82" t="s">
        <v>10</v>
      </c>
      <c r="D82" t="s">
        <v>11</v>
      </c>
      <c r="E82" t="s">
        <v>12</v>
      </c>
      <c r="F82">
        <v>1200</v>
      </c>
      <c r="G82">
        <v>2</v>
      </c>
      <c r="H82">
        <v>700</v>
      </c>
      <c r="I82">
        <f>Raw_Data!$F82-Raw_Data!$H82</f>
        <v>500</v>
      </c>
      <c r="J82">
        <f>Raw_Data!$I82/Raw_Data!$F82</f>
        <v>0.41666666666666669</v>
      </c>
    </row>
    <row r="83" spans="1:10" x14ac:dyDescent="0.3">
      <c r="A83">
        <v>1002</v>
      </c>
      <c r="B83" s="1">
        <v>45659</v>
      </c>
      <c r="C83" t="s">
        <v>13</v>
      </c>
      <c r="D83" t="s">
        <v>14</v>
      </c>
      <c r="E83" t="s">
        <v>12</v>
      </c>
      <c r="F83">
        <v>200</v>
      </c>
      <c r="G83">
        <v>5</v>
      </c>
      <c r="H83">
        <v>700</v>
      </c>
      <c r="I83">
        <f>Raw_Data!$F83-Raw_Data!$H83</f>
        <v>-500</v>
      </c>
      <c r="J83">
        <f>Raw_Data!$I83/Raw_Data!$F83</f>
        <v>-2.5</v>
      </c>
    </row>
    <row r="84" spans="1:10" x14ac:dyDescent="0.3">
      <c r="A84">
        <v>1003</v>
      </c>
      <c r="B84" s="1">
        <v>45660</v>
      </c>
      <c r="C84" t="s">
        <v>15</v>
      </c>
      <c r="D84" t="s">
        <v>16</v>
      </c>
      <c r="E84" t="s">
        <v>12</v>
      </c>
      <c r="F84">
        <v>450</v>
      </c>
      <c r="G84">
        <v>3</v>
      </c>
      <c r="H84">
        <v>700</v>
      </c>
      <c r="I84">
        <f>Raw_Data!$F84-Raw_Data!$H84</f>
        <v>-250</v>
      </c>
      <c r="J84">
        <f>Raw_Data!$I84/Raw_Data!$F84</f>
        <v>-0.55555555555555558</v>
      </c>
    </row>
    <row r="85" spans="1:10" x14ac:dyDescent="0.3">
      <c r="A85">
        <v>1004</v>
      </c>
      <c r="B85" s="1">
        <v>45662</v>
      </c>
      <c r="C85" t="s">
        <v>17</v>
      </c>
      <c r="D85" t="s">
        <v>18</v>
      </c>
      <c r="E85" t="s">
        <v>12</v>
      </c>
      <c r="F85">
        <v>800</v>
      </c>
      <c r="G85">
        <v>2</v>
      </c>
      <c r="H85">
        <v>700</v>
      </c>
      <c r="I85">
        <f>Raw_Data!$F85-Raw_Data!$H85</f>
        <v>100</v>
      </c>
      <c r="J85">
        <f>Raw_Data!$I85/Raw_Data!$F85</f>
        <v>0.125</v>
      </c>
    </row>
    <row r="86" spans="1:10" x14ac:dyDescent="0.3">
      <c r="A86">
        <v>1005</v>
      </c>
      <c r="B86" s="1">
        <v>45665</v>
      </c>
      <c r="C86" t="s">
        <v>10</v>
      </c>
      <c r="D86" t="s">
        <v>19</v>
      </c>
      <c r="E86" t="s">
        <v>12</v>
      </c>
      <c r="F86">
        <v>1500</v>
      </c>
      <c r="G86">
        <v>1</v>
      </c>
      <c r="H86">
        <v>700</v>
      </c>
      <c r="I86">
        <f>Raw_Data!$F86-Raw_Data!$H86</f>
        <v>800</v>
      </c>
      <c r="J86">
        <f>Raw_Data!$I86/Raw_Data!$F86</f>
        <v>0.53333333333333333</v>
      </c>
    </row>
    <row r="87" spans="1:10" x14ac:dyDescent="0.3">
      <c r="A87">
        <v>1006</v>
      </c>
      <c r="B87" s="1">
        <v>45667</v>
      </c>
      <c r="C87" t="s">
        <v>13</v>
      </c>
      <c r="D87" t="s">
        <v>20</v>
      </c>
      <c r="E87" t="s">
        <v>21</v>
      </c>
      <c r="F87">
        <v>900</v>
      </c>
      <c r="G87">
        <v>3</v>
      </c>
      <c r="H87">
        <v>700</v>
      </c>
      <c r="I87">
        <f>Raw_Data!$F87-Raw_Data!$H87</f>
        <v>200</v>
      </c>
      <c r="J87">
        <f>Raw_Data!$I87/Raw_Data!$F87</f>
        <v>0.22222222222222221</v>
      </c>
    </row>
    <row r="88" spans="1:10" x14ac:dyDescent="0.3">
      <c r="A88">
        <v>1007</v>
      </c>
      <c r="B88" s="1">
        <v>45669</v>
      </c>
      <c r="C88" t="s">
        <v>15</v>
      </c>
      <c r="D88" t="s">
        <v>22</v>
      </c>
      <c r="E88" t="s">
        <v>21</v>
      </c>
      <c r="F88">
        <v>350</v>
      </c>
      <c r="G88">
        <v>7</v>
      </c>
      <c r="H88">
        <v>700</v>
      </c>
      <c r="I88">
        <f>Raw_Data!$F88-Raw_Data!$H88</f>
        <v>-350</v>
      </c>
      <c r="J88">
        <f>Raw_Data!$I88/Raw_Data!$F88</f>
        <v>-1</v>
      </c>
    </row>
    <row r="89" spans="1:10" x14ac:dyDescent="0.3">
      <c r="A89">
        <v>1008</v>
      </c>
      <c r="B89" s="1">
        <v>45672</v>
      </c>
      <c r="C89" t="s">
        <v>17</v>
      </c>
      <c r="D89" t="s">
        <v>23</v>
      </c>
      <c r="E89" t="s">
        <v>21</v>
      </c>
      <c r="F89">
        <v>500</v>
      </c>
      <c r="G89">
        <v>4</v>
      </c>
      <c r="H89">
        <v>700</v>
      </c>
      <c r="I89">
        <f>Raw_Data!$F89-Raw_Data!$H89</f>
        <v>-200</v>
      </c>
      <c r="J89">
        <f>Raw_Data!$I89/Raw_Data!$F89</f>
        <v>-0.4</v>
      </c>
    </row>
    <row r="90" spans="1:10" x14ac:dyDescent="0.3">
      <c r="A90">
        <v>1009</v>
      </c>
      <c r="B90" s="1">
        <v>45675</v>
      </c>
      <c r="C90" t="s">
        <v>10</v>
      </c>
      <c r="D90" t="s">
        <v>24</v>
      </c>
      <c r="E90" t="s">
        <v>12</v>
      </c>
      <c r="F90">
        <v>950</v>
      </c>
      <c r="G90">
        <v>2</v>
      </c>
      <c r="H90">
        <v>700</v>
      </c>
      <c r="I90">
        <f>Raw_Data!$F90-Raw_Data!$H90</f>
        <v>250</v>
      </c>
      <c r="J90">
        <f>Raw_Data!$I90/Raw_Data!$F90</f>
        <v>0.26315789473684209</v>
      </c>
    </row>
    <row r="91" spans="1:10" x14ac:dyDescent="0.3">
      <c r="A91">
        <v>1010</v>
      </c>
      <c r="B91" s="1">
        <v>45677</v>
      </c>
      <c r="C91" t="s">
        <v>13</v>
      </c>
      <c r="D91" t="s">
        <v>25</v>
      </c>
      <c r="E91" t="s">
        <v>12</v>
      </c>
      <c r="F91">
        <v>1100</v>
      </c>
      <c r="G91">
        <v>2</v>
      </c>
      <c r="H91">
        <v>700</v>
      </c>
      <c r="I91">
        <f>Raw_Data!$F91-Raw_Data!$H91</f>
        <v>400</v>
      </c>
      <c r="J91">
        <f>Raw_Data!$I91/Raw_Data!$F91</f>
        <v>0.36363636363636365</v>
      </c>
    </row>
    <row r="92" spans="1:10" x14ac:dyDescent="0.3">
      <c r="A92">
        <v>1001</v>
      </c>
      <c r="B92" s="1">
        <v>45658</v>
      </c>
      <c r="C92" t="s">
        <v>10</v>
      </c>
      <c r="D92" t="s">
        <v>11</v>
      </c>
      <c r="E92" t="s">
        <v>12</v>
      </c>
      <c r="F92">
        <v>1200</v>
      </c>
      <c r="G92">
        <v>2</v>
      </c>
      <c r="H92">
        <v>700</v>
      </c>
      <c r="I92">
        <f>Raw_Data!$F92-Raw_Data!$H92</f>
        <v>500</v>
      </c>
      <c r="J92">
        <f>Raw_Data!$I92/Raw_Data!$F92</f>
        <v>0.41666666666666669</v>
      </c>
    </row>
    <row r="93" spans="1:10" x14ac:dyDescent="0.3">
      <c r="A93">
        <v>1002</v>
      </c>
      <c r="B93" s="1">
        <v>45659</v>
      </c>
      <c r="C93" t="s">
        <v>13</v>
      </c>
      <c r="D93" t="s">
        <v>14</v>
      </c>
      <c r="E93" t="s">
        <v>12</v>
      </c>
      <c r="F93">
        <v>200</v>
      </c>
      <c r="G93">
        <v>5</v>
      </c>
      <c r="H93">
        <v>700</v>
      </c>
      <c r="I93">
        <f>Raw_Data!$F93-Raw_Data!$H93</f>
        <v>-500</v>
      </c>
      <c r="J93">
        <f>Raw_Data!$I93/Raw_Data!$F93</f>
        <v>-2.5</v>
      </c>
    </row>
    <row r="94" spans="1:10" x14ac:dyDescent="0.3">
      <c r="A94">
        <v>1003</v>
      </c>
      <c r="B94" s="1">
        <v>45660</v>
      </c>
      <c r="C94" t="s">
        <v>15</v>
      </c>
      <c r="D94" t="s">
        <v>16</v>
      </c>
      <c r="E94" t="s">
        <v>12</v>
      </c>
      <c r="F94">
        <v>450</v>
      </c>
      <c r="G94">
        <v>3</v>
      </c>
      <c r="H94">
        <v>700</v>
      </c>
      <c r="I94">
        <f>Raw_Data!$F94-Raw_Data!$H94</f>
        <v>-250</v>
      </c>
      <c r="J94">
        <f>Raw_Data!$I94/Raw_Data!$F94</f>
        <v>-0.55555555555555558</v>
      </c>
    </row>
    <row r="95" spans="1:10" x14ac:dyDescent="0.3">
      <c r="A95">
        <v>1004</v>
      </c>
      <c r="B95" s="1">
        <v>45662</v>
      </c>
      <c r="C95" t="s">
        <v>17</v>
      </c>
      <c r="D95" t="s">
        <v>18</v>
      </c>
      <c r="E95" t="s">
        <v>12</v>
      </c>
      <c r="F95">
        <v>800</v>
      </c>
      <c r="G95">
        <v>2</v>
      </c>
      <c r="H95">
        <v>700</v>
      </c>
      <c r="I95">
        <f>Raw_Data!$F95-Raw_Data!$H95</f>
        <v>100</v>
      </c>
      <c r="J95">
        <f>Raw_Data!$I95/Raw_Data!$F95</f>
        <v>0.125</v>
      </c>
    </row>
    <row r="96" spans="1:10" x14ac:dyDescent="0.3">
      <c r="A96">
        <v>1005</v>
      </c>
      <c r="B96" s="1">
        <v>45665</v>
      </c>
      <c r="C96" t="s">
        <v>10</v>
      </c>
      <c r="D96" t="s">
        <v>19</v>
      </c>
      <c r="E96" t="s">
        <v>12</v>
      </c>
      <c r="F96">
        <v>1500</v>
      </c>
      <c r="G96">
        <v>1</v>
      </c>
      <c r="H96">
        <v>700</v>
      </c>
      <c r="I96">
        <f>Raw_Data!$F96-Raw_Data!$H96</f>
        <v>800</v>
      </c>
      <c r="J96">
        <f>Raw_Data!$I96/Raw_Data!$F96</f>
        <v>0.53333333333333333</v>
      </c>
    </row>
    <row r="97" spans="1:10" x14ac:dyDescent="0.3">
      <c r="A97">
        <v>1006</v>
      </c>
      <c r="B97" s="1">
        <v>45667</v>
      </c>
      <c r="C97" t="s">
        <v>13</v>
      </c>
      <c r="D97" t="s">
        <v>20</v>
      </c>
      <c r="E97" t="s">
        <v>21</v>
      </c>
      <c r="F97">
        <v>900</v>
      </c>
      <c r="G97">
        <v>3</v>
      </c>
      <c r="H97">
        <v>700</v>
      </c>
      <c r="I97">
        <f>Raw_Data!$F97-Raw_Data!$H97</f>
        <v>200</v>
      </c>
      <c r="J97">
        <f>Raw_Data!$I97/Raw_Data!$F97</f>
        <v>0.22222222222222221</v>
      </c>
    </row>
    <row r="98" spans="1:10" x14ac:dyDescent="0.3">
      <c r="A98">
        <v>1007</v>
      </c>
      <c r="B98" s="1">
        <v>45669</v>
      </c>
      <c r="C98" t="s">
        <v>15</v>
      </c>
      <c r="D98" t="s">
        <v>22</v>
      </c>
      <c r="E98" t="s">
        <v>21</v>
      </c>
      <c r="F98">
        <v>350</v>
      </c>
      <c r="G98">
        <v>7</v>
      </c>
      <c r="H98">
        <v>700</v>
      </c>
      <c r="I98">
        <f>Raw_Data!$F98-Raw_Data!$H98</f>
        <v>-350</v>
      </c>
      <c r="J98">
        <f>Raw_Data!$I98/Raw_Data!$F98</f>
        <v>-1</v>
      </c>
    </row>
    <row r="99" spans="1:10" x14ac:dyDescent="0.3">
      <c r="A99">
        <v>1008</v>
      </c>
      <c r="B99" s="1">
        <v>45672</v>
      </c>
      <c r="C99" t="s">
        <v>17</v>
      </c>
      <c r="D99" t="s">
        <v>23</v>
      </c>
      <c r="E99" t="s">
        <v>21</v>
      </c>
      <c r="F99">
        <v>500</v>
      </c>
      <c r="G99">
        <v>4</v>
      </c>
      <c r="H99">
        <v>700</v>
      </c>
      <c r="I99">
        <f>Raw_Data!$F99-Raw_Data!$H99</f>
        <v>-200</v>
      </c>
      <c r="J99">
        <f>Raw_Data!$I99/Raw_Data!$F99</f>
        <v>-0.4</v>
      </c>
    </row>
    <row r="100" spans="1:10" x14ac:dyDescent="0.3">
      <c r="A100">
        <v>1009</v>
      </c>
      <c r="B100" s="1">
        <v>45675</v>
      </c>
      <c r="C100" t="s">
        <v>10</v>
      </c>
      <c r="D100" t="s">
        <v>24</v>
      </c>
      <c r="E100" t="s">
        <v>12</v>
      </c>
      <c r="F100">
        <v>950</v>
      </c>
      <c r="G100">
        <v>2</v>
      </c>
      <c r="H100">
        <v>700</v>
      </c>
      <c r="I100">
        <f>Raw_Data!$F100-Raw_Data!$H100</f>
        <v>250</v>
      </c>
      <c r="J100">
        <f>Raw_Data!$I100/Raw_Data!$F100</f>
        <v>0.26315789473684209</v>
      </c>
    </row>
    <row r="101" spans="1:10" x14ac:dyDescent="0.3">
      <c r="A101">
        <v>1010</v>
      </c>
      <c r="B101" s="1">
        <v>45677</v>
      </c>
      <c r="C101" t="s">
        <v>13</v>
      </c>
      <c r="D101" t="s">
        <v>25</v>
      </c>
      <c r="E101" t="s">
        <v>12</v>
      </c>
      <c r="F101">
        <v>1100</v>
      </c>
      <c r="G101">
        <v>2</v>
      </c>
      <c r="H101">
        <v>700</v>
      </c>
      <c r="I101">
        <f>Raw_Data!$F101-Raw_Data!$H101</f>
        <v>400</v>
      </c>
      <c r="J101">
        <f>Raw_Data!$I101/Raw_Data!$F101</f>
        <v>0.36363636363636365</v>
      </c>
    </row>
    <row r="102" spans="1:10" x14ac:dyDescent="0.3">
      <c r="A102">
        <v>1001</v>
      </c>
      <c r="B102" s="1">
        <v>45658</v>
      </c>
      <c r="C102" t="s">
        <v>10</v>
      </c>
      <c r="D102" t="s">
        <v>11</v>
      </c>
      <c r="E102" t="s">
        <v>12</v>
      </c>
      <c r="F102">
        <v>1200</v>
      </c>
      <c r="G102">
        <v>2</v>
      </c>
      <c r="H102">
        <v>700</v>
      </c>
      <c r="I102">
        <f>Raw_Data!$F102-Raw_Data!$H102</f>
        <v>500</v>
      </c>
      <c r="J102">
        <f>Raw_Data!$I102/Raw_Data!$F102</f>
        <v>0.41666666666666669</v>
      </c>
    </row>
    <row r="103" spans="1:10" x14ac:dyDescent="0.3">
      <c r="A103">
        <v>1002</v>
      </c>
      <c r="B103" s="1">
        <v>45659</v>
      </c>
      <c r="C103" t="s">
        <v>13</v>
      </c>
      <c r="D103" t="s">
        <v>14</v>
      </c>
      <c r="E103" t="s">
        <v>12</v>
      </c>
      <c r="F103">
        <v>200</v>
      </c>
      <c r="G103">
        <v>5</v>
      </c>
      <c r="H103">
        <v>700</v>
      </c>
      <c r="I103">
        <f>Raw_Data!$F103-Raw_Data!$H103</f>
        <v>-500</v>
      </c>
      <c r="J103">
        <f>Raw_Data!$I103/Raw_Data!$F103</f>
        <v>-2.5</v>
      </c>
    </row>
    <row r="104" spans="1:10" x14ac:dyDescent="0.3">
      <c r="A104">
        <v>1003</v>
      </c>
      <c r="B104" s="1">
        <v>45660</v>
      </c>
      <c r="C104" t="s">
        <v>15</v>
      </c>
      <c r="D104" t="s">
        <v>16</v>
      </c>
      <c r="E104" t="s">
        <v>12</v>
      </c>
      <c r="F104">
        <v>450</v>
      </c>
      <c r="G104">
        <v>3</v>
      </c>
      <c r="H104">
        <v>700</v>
      </c>
      <c r="I104">
        <f>Raw_Data!$F104-Raw_Data!$H104</f>
        <v>-250</v>
      </c>
      <c r="J104">
        <f>Raw_Data!$I104/Raw_Data!$F104</f>
        <v>-0.55555555555555558</v>
      </c>
    </row>
    <row r="105" spans="1:10" x14ac:dyDescent="0.3">
      <c r="A105">
        <v>1004</v>
      </c>
      <c r="B105" s="1">
        <v>45662</v>
      </c>
      <c r="C105" t="s">
        <v>17</v>
      </c>
      <c r="D105" t="s">
        <v>18</v>
      </c>
      <c r="E105" t="s">
        <v>12</v>
      </c>
      <c r="F105">
        <v>800</v>
      </c>
      <c r="G105">
        <v>2</v>
      </c>
      <c r="H105">
        <v>700</v>
      </c>
      <c r="I105">
        <f>Raw_Data!$F105-Raw_Data!$H105</f>
        <v>100</v>
      </c>
      <c r="J105">
        <f>Raw_Data!$I105/Raw_Data!$F105</f>
        <v>0.125</v>
      </c>
    </row>
    <row r="106" spans="1:10" x14ac:dyDescent="0.3">
      <c r="A106">
        <v>1005</v>
      </c>
      <c r="B106" s="1">
        <v>45665</v>
      </c>
      <c r="C106" t="s">
        <v>10</v>
      </c>
      <c r="D106" t="s">
        <v>19</v>
      </c>
      <c r="E106" t="s">
        <v>12</v>
      </c>
      <c r="F106">
        <v>1500</v>
      </c>
      <c r="G106">
        <v>1</v>
      </c>
      <c r="H106">
        <v>700</v>
      </c>
      <c r="I106">
        <f>Raw_Data!$F106-Raw_Data!$H106</f>
        <v>800</v>
      </c>
      <c r="J106">
        <f>Raw_Data!$I106/Raw_Data!$F106</f>
        <v>0.53333333333333333</v>
      </c>
    </row>
    <row r="107" spans="1:10" x14ac:dyDescent="0.3">
      <c r="A107">
        <v>1006</v>
      </c>
      <c r="B107" s="1">
        <v>45667</v>
      </c>
      <c r="C107" t="s">
        <v>13</v>
      </c>
      <c r="D107" t="s">
        <v>20</v>
      </c>
      <c r="E107" t="s">
        <v>21</v>
      </c>
      <c r="F107">
        <v>900</v>
      </c>
      <c r="G107">
        <v>3</v>
      </c>
      <c r="H107">
        <v>700</v>
      </c>
      <c r="I107">
        <f>Raw_Data!$F107-Raw_Data!$H107</f>
        <v>200</v>
      </c>
      <c r="J107">
        <f>Raw_Data!$I107/Raw_Data!$F107</f>
        <v>0.22222222222222221</v>
      </c>
    </row>
    <row r="108" spans="1:10" x14ac:dyDescent="0.3">
      <c r="A108">
        <v>1007</v>
      </c>
      <c r="B108" s="1">
        <v>45669</v>
      </c>
      <c r="C108" t="s">
        <v>15</v>
      </c>
      <c r="D108" t="s">
        <v>22</v>
      </c>
      <c r="E108" t="s">
        <v>21</v>
      </c>
      <c r="F108">
        <v>350</v>
      </c>
      <c r="G108">
        <v>7</v>
      </c>
      <c r="H108">
        <v>700</v>
      </c>
      <c r="I108">
        <f>Raw_Data!$F108-Raw_Data!$H108</f>
        <v>-350</v>
      </c>
      <c r="J108">
        <f>Raw_Data!$I108/Raw_Data!$F108</f>
        <v>-1</v>
      </c>
    </row>
    <row r="109" spans="1:10" x14ac:dyDescent="0.3">
      <c r="A109">
        <v>1008</v>
      </c>
      <c r="B109" s="1">
        <v>45672</v>
      </c>
      <c r="C109" t="s">
        <v>17</v>
      </c>
      <c r="D109" t="s">
        <v>23</v>
      </c>
      <c r="E109" t="s">
        <v>21</v>
      </c>
      <c r="F109">
        <v>500</v>
      </c>
      <c r="G109">
        <v>4</v>
      </c>
      <c r="H109">
        <v>700</v>
      </c>
      <c r="I109">
        <f>Raw_Data!$F109-Raw_Data!$H109</f>
        <v>-200</v>
      </c>
      <c r="J109">
        <f>Raw_Data!$I109/Raw_Data!$F109</f>
        <v>-0.4</v>
      </c>
    </row>
    <row r="110" spans="1:10" x14ac:dyDescent="0.3">
      <c r="A110">
        <v>1009</v>
      </c>
      <c r="B110" s="1">
        <v>45675</v>
      </c>
      <c r="C110" t="s">
        <v>10</v>
      </c>
      <c r="D110" t="s">
        <v>24</v>
      </c>
      <c r="E110" t="s">
        <v>12</v>
      </c>
      <c r="F110">
        <v>950</v>
      </c>
      <c r="G110">
        <v>2</v>
      </c>
      <c r="H110">
        <v>700</v>
      </c>
      <c r="I110">
        <f>Raw_Data!$F110-Raw_Data!$H110</f>
        <v>250</v>
      </c>
      <c r="J110">
        <f>Raw_Data!$I110/Raw_Data!$F110</f>
        <v>0.26315789473684209</v>
      </c>
    </row>
    <row r="111" spans="1:10" x14ac:dyDescent="0.3">
      <c r="A111">
        <v>1010</v>
      </c>
      <c r="B111" s="1">
        <v>45677</v>
      </c>
      <c r="C111" t="s">
        <v>13</v>
      </c>
      <c r="D111" t="s">
        <v>25</v>
      </c>
      <c r="E111" t="s">
        <v>12</v>
      </c>
      <c r="F111">
        <v>1100</v>
      </c>
      <c r="G111">
        <v>2</v>
      </c>
      <c r="H111">
        <v>700</v>
      </c>
      <c r="I111">
        <f>Raw_Data!$F111-Raw_Data!$H111</f>
        <v>400</v>
      </c>
      <c r="J111">
        <f>Raw_Data!$I111/Raw_Data!$F111</f>
        <v>0.36363636363636365</v>
      </c>
    </row>
    <row r="112" spans="1:10" x14ac:dyDescent="0.3">
      <c r="A112">
        <v>1001</v>
      </c>
      <c r="B112" s="1">
        <v>45658</v>
      </c>
      <c r="C112" t="s">
        <v>10</v>
      </c>
      <c r="D112" t="s">
        <v>11</v>
      </c>
      <c r="E112" t="s">
        <v>12</v>
      </c>
      <c r="F112">
        <v>1200</v>
      </c>
      <c r="G112">
        <v>2</v>
      </c>
      <c r="H112">
        <v>700</v>
      </c>
      <c r="I112">
        <f>Raw_Data!$F112-Raw_Data!$H112</f>
        <v>500</v>
      </c>
      <c r="J112">
        <f>Raw_Data!$I112/Raw_Data!$F112</f>
        <v>0.41666666666666669</v>
      </c>
    </row>
    <row r="113" spans="1:10" x14ac:dyDescent="0.3">
      <c r="A113">
        <v>1002</v>
      </c>
      <c r="B113" s="1">
        <v>45659</v>
      </c>
      <c r="C113" t="s">
        <v>13</v>
      </c>
      <c r="D113" t="s">
        <v>14</v>
      </c>
      <c r="E113" t="s">
        <v>12</v>
      </c>
      <c r="F113">
        <v>200</v>
      </c>
      <c r="G113">
        <v>5</v>
      </c>
      <c r="H113">
        <v>700</v>
      </c>
      <c r="I113">
        <f>Raw_Data!$F113-Raw_Data!$H113</f>
        <v>-500</v>
      </c>
      <c r="J113">
        <f>Raw_Data!$I113/Raw_Data!$F113</f>
        <v>-2.5</v>
      </c>
    </row>
    <row r="114" spans="1:10" x14ac:dyDescent="0.3">
      <c r="A114">
        <v>1003</v>
      </c>
      <c r="B114" s="1">
        <v>45660</v>
      </c>
      <c r="C114" t="s">
        <v>15</v>
      </c>
      <c r="D114" t="s">
        <v>16</v>
      </c>
      <c r="E114" t="s">
        <v>12</v>
      </c>
      <c r="F114">
        <v>450</v>
      </c>
      <c r="G114">
        <v>3</v>
      </c>
      <c r="H114">
        <v>700</v>
      </c>
      <c r="I114">
        <f>Raw_Data!$F114-Raw_Data!$H114</f>
        <v>-250</v>
      </c>
      <c r="J114">
        <f>Raw_Data!$I114/Raw_Data!$F114</f>
        <v>-0.55555555555555558</v>
      </c>
    </row>
    <row r="115" spans="1:10" x14ac:dyDescent="0.3">
      <c r="A115">
        <v>1004</v>
      </c>
      <c r="B115" s="1">
        <v>45662</v>
      </c>
      <c r="C115" t="s">
        <v>17</v>
      </c>
      <c r="D115" t="s">
        <v>18</v>
      </c>
      <c r="E115" t="s">
        <v>12</v>
      </c>
      <c r="F115">
        <v>800</v>
      </c>
      <c r="G115">
        <v>2</v>
      </c>
      <c r="H115">
        <v>700</v>
      </c>
      <c r="I115">
        <f>Raw_Data!$F115-Raw_Data!$H115</f>
        <v>100</v>
      </c>
      <c r="J115">
        <f>Raw_Data!$I115/Raw_Data!$F115</f>
        <v>0.125</v>
      </c>
    </row>
    <row r="116" spans="1:10" x14ac:dyDescent="0.3">
      <c r="A116">
        <v>1005</v>
      </c>
      <c r="B116" s="1">
        <v>45665</v>
      </c>
      <c r="C116" t="s">
        <v>10</v>
      </c>
      <c r="D116" t="s">
        <v>19</v>
      </c>
      <c r="E116" t="s">
        <v>12</v>
      </c>
      <c r="F116">
        <v>1500</v>
      </c>
      <c r="G116">
        <v>1</v>
      </c>
      <c r="H116">
        <v>700</v>
      </c>
      <c r="I116">
        <f>Raw_Data!$F116-Raw_Data!$H116</f>
        <v>800</v>
      </c>
      <c r="J116">
        <f>Raw_Data!$I116/Raw_Data!$F116</f>
        <v>0.53333333333333333</v>
      </c>
    </row>
    <row r="117" spans="1:10" x14ac:dyDescent="0.3">
      <c r="A117">
        <v>1006</v>
      </c>
      <c r="B117" s="1">
        <v>45667</v>
      </c>
      <c r="C117" t="s">
        <v>13</v>
      </c>
      <c r="D117" t="s">
        <v>20</v>
      </c>
      <c r="E117" t="s">
        <v>21</v>
      </c>
      <c r="F117">
        <v>900</v>
      </c>
      <c r="G117">
        <v>3</v>
      </c>
      <c r="H117">
        <v>700</v>
      </c>
      <c r="I117">
        <f>Raw_Data!$F117-Raw_Data!$H117</f>
        <v>200</v>
      </c>
      <c r="J117">
        <f>Raw_Data!$I117/Raw_Data!$F117</f>
        <v>0.22222222222222221</v>
      </c>
    </row>
    <row r="118" spans="1:10" x14ac:dyDescent="0.3">
      <c r="A118">
        <v>1007</v>
      </c>
      <c r="B118" s="1">
        <v>45669</v>
      </c>
      <c r="C118" t="s">
        <v>15</v>
      </c>
      <c r="D118" t="s">
        <v>22</v>
      </c>
      <c r="E118" t="s">
        <v>21</v>
      </c>
      <c r="F118">
        <v>350</v>
      </c>
      <c r="G118">
        <v>7</v>
      </c>
      <c r="H118">
        <v>700</v>
      </c>
      <c r="I118">
        <f>Raw_Data!$F118-Raw_Data!$H118</f>
        <v>-350</v>
      </c>
      <c r="J118">
        <f>Raw_Data!$I118/Raw_Data!$F118</f>
        <v>-1</v>
      </c>
    </row>
    <row r="119" spans="1:10" x14ac:dyDescent="0.3">
      <c r="A119">
        <v>1008</v>
      </c>
      <c r="B119" s="1">
        <v>45672</v>
      </c>
      <c r="C119" t="s">
        <v>17</v>
      </c>
      <c r="D119" t="s">
        <v>23</v>
      </c>
      <c r="E119" t="s">
        <v>21</v>
      </c>
      <c r="F119">
        <v>500</v>
      </c>
      <c r="G119">
        <v>4</v>
      </c>
      <c r="H119">
        <v>700</v>
      </c>
      <c r="I119">
        <f>Raw_Data!$F119-Raw_Data!$H119</f>
        <v>-200</v>
      </c>
      <c r="J119">
        <f>Raw_Data!$I119/Raw_Data!$F119</f>
        <v>-0.4</v>
      </c>
    </row>
    <row r="120" spans="1:10" x14ac:dyDescent="0.3">
      <c r="A120">
        <v>1009</v>
      </c>
      <c r="B120" s="1">
        <v>45675</v>
      </c>
      <c r="C120" t="s">
        <v>10</v>
      </c>
      <c r="D120" t="s">
        <v>24</v>
      </c>
      <c r="E120" t="s">
        <v>12</v>
      </c>
      <c r="F120">
        <v>950</v>
      </c>
      <c r="G120">
        <v>2</v>
      </c>
      <c r="H120">
        <v>700</v>
      </c>
      <c r="I120">
        <f>Raw_Data!$F120-Raw_Data!$H120</f>
        <v>250</v>
      </c>
      <c r="J120">
        <f>Raw_Data!$I120/Raw_Data!$F120</f>
        <v>0.26315789473684209</v>
      </c>
    </row>
    <row r="121" spans="1:10" x14ac:dyDescent="0.3">
      <c r="A121">
        <v>1010</v>
      </c>
      <c r="B121" s="1">
        <v>45677</v>
      </c>
      <c r="C121" t="s">
        <v>13</v>
      </c>
      <c r="D121" t="s">
        <v>25</v>
      </c>
      <c r="E121" t="s">
        <v>12</v>
      </c>
      <c r="F121">
        <v>1100</v>
      </c>
      <c r="G121">
        <v>2</v>
      </c>
      <c r="H121">
        <v>700</v>
      </c>
      <c r="I121">
        <f>Raw_Data!$F121-Raw_Data!$H121</f>
        <v>400</v>
      </c>
      <c r="J121">
        <f>Raw_Data!$I121/Raw_Data!$F121</f>
        <v>0.36363636363636365</v>
      </c>
    </row>
    <row r="122" spans="1:10" x14ac:dyDescent="0.3">
      <c r="A122">
        <v>1001</v>
      </c>
      <c r="B122" s="1">
        <v>45658</v>
      </c>
      <c r="C122" t="s">
        <v>10</v>
      </c>
      <c r="D122" t="s">
        <v>11</v>
      </c>
      <c r="E122" t="s">
        <v>12</v>
      </c>
      <c r="F122">
        <v>1200</v>
      </c>
      <c r="G122">
        <v>2</v>
      </c>
      <c r="H122">
        <v>700</v>
      </c>
      <c r="I122">
        <f>Raw_Data!$F122-Raw_Data!$H122</f>
        <v>500</v>
      </c>
      <c r="J122">
        <f>Raw_Data!$I122/Raw_Data!$F122</f>
        <v>0.41666666666666669</v>
      </c>
    </row>
    <row r="123" spans="1:10" x14ac:dyDescent="0.3">
      <c r="A123">
        <v>1002</v>
      </c>
      <c r="B123" s="1">
        <v>45659</v>
      </c>
      <c r="C123" t="s">
        <v>13</v>
      </c>
      <c r="D123" t="s">
        <v>14</v>
      </c>
      <c r="E123" t="s">
        <v>12</v>
      </c>
      <c r="F123">
        <v>200</v>
      </c>
      <c r="G123">
        <v>5</v>
      </c>
      <c r="H123">
        <v>700</v>
      </c>
      <c r="I123">
        <f>Raw_Data!$F123-Raw_Data!$H123</f>
        <v>-500</v>
      </c>
      <c r="J123">
        <f>Raw_Data!$I123/Raw_Data!$F123</f>
        <v>-2.5</v>
      </c>
    </row>
    <row r="124" spans="1:10" x14ac:dyDescent="0.3">
      <c r="A124">
        <v>1003</v>
      </c>
      <c r="B124" s="1">
        <v>45660</v>
      </c>
      <c r="C124" t="s">
        <v>15</v>
      </c>
      <c r="D124" t="s">
        <v>16</v>
      </c>
      <c r="E124" t="s">
        <v>12</v>
      </c>
      <c r="F124">
        <v>450</v>
      </c>
      <c r="G124">
        <v>3</v>
      </c>
      <c r="H124">
        <v>700</v>
      </c>
      <c r="I124">
        <f>Raw_Data!$F124-Raw_Data!$H124</f>
        <v>-250</v>
      </c>
      <c r="J124">
        <f>Raw_Data!$I124/Raw_Data!$F124</f>
        <v>-0.55555555555555558</v>
      </c>
    </row>
    <row r="125" spans="1:10" x14ac:dyDescent="0.3">
      <c r="A125">
        <v>1004</v>
      </c>
      <c r="B125" s="1">
        <v>45662</v>
      </c>
      <c r="C125" t="s">
        <v>17</v>
      </c>
      <c r="D125" t="s">
        <v>18</v>
      </c>
      <c r="E125" t="s">
        <v>12</v>
      </c>
      <c r="F125">
        <v>800</v>
      </c>
      <c r="G125">
        <v>2</v>
      </c>
      <c r="H125">
        <v>700</v>
      </c>
      <c r="I125">
        <f>Raw_Data!$F125-Raw_Data!$H125</f>
        <v>100</v>
      </c>
      <c r="J125">
        <f>Raw_Data!$I125/Raw_Data!$F125</f>
        <v>0.125</v>
      </c>
    </row>
    <row r="126" spans="1:10" x14ac:dyDescent="0.3">
      <c r="A126">
        <v>1005</v>
      </c>
      <c r="B126" s="1">
        <v>45665</v>
      </c>
      <c r="C126" t="s">
        <v>10</v>
      </c>
      <c r="D126" t="s">
        <v>19</v>
      </c>
      <c r="E126" t="s">
        <v>12</v>
      </c>
      <c r="F126">
        <v>1500</v>
      </c>
      <c r="G126">
        <v>1</v>
      </c>
      <c r="H126">
        <v>700</v>
      </c>
      <c r="I126">
        <f>Raw_Data!$F126-Raw_Data!$H126</f>
        <v>800</v>
      </c>
      <c r="J126">
        <f>Raw_Data!$I126/Raw_Data!$F126</f>
        <v>0.53333333333333333</v>
      </c>
    </row>
    <row r="127" spans="1:10" x14ac:dyDescent="0.3">
      <c r="A127">
        <v>1006</v>
      </c>
      <c r="B127" s="1">
        <v>45667</v>
      </c>
      <c r="C127" t="s">
        <v>13</v>
      </c>
      <c r="D127" t="s">
        <v>20</v>
      </c>
      <c r="E127" t="s">
        <v>21</v>
      </c>
      <c r="F127">
        <v>900</v>
      </c>
      <c r="G127">
        <v>3</v>
      </c>
      <c r="H127">
        <v>700</v>
      </c>
      <c r="I127">
        <f>Raw_Data!$F127-Raw_Data!$H127</f>
        <v>200</v>
      </c>
      <c r="J127">
        <f>Raw_Data!$I127/Raw_Data!$F127</f>
        <v>0.22222222222222221</v>
      </c>
    </row>
    <row r="128" spans="1:10" x14ac:dyDescent="0.3">
      <c r="A128">
        <v>1007</v>
      </c>
      <c r="B128" s="1">
        <v>45669</v>
      </c>
      <c r="C128" t="s">
        <v>15</v>
      </c>
      <c r="D128" t="s">
        <v>22</v>
      </c>
      <c r="E128" t="s">
        <v>21</v>
      </c>
      <c r="F128">
        <v>350</v>
      </c>
      <c r="G128">
        <v>7</v>
      </c>
      <c r="H128">
        <v>700</v>
      </c>
      <c r="I128">
        <f>Raw_Data!$F128-Raw_Data!$H128</f>
        <v>-350</v>
      </c>
      <c r="J128">
        <f>Raw_Data!$I128/Raw_Data!$F128</f>
        <v>-1</v>
      </c>
    </row>
    <row r="129" spans="1:10" x14ac:dyDescent="0.3">
      <c r="A129">
        <v>1008</v>
      </c>
      <c r="B129" s="1">
        <v>45672</v>
      </c>
      <c r="C129" t="s">
        <v>17</v>
      </c>
      <c r="D129" t="s">
        <v>23</v>
      </c>
      <c r="E129" t="s">
        <v>21</v>
      </c>
      <c r="F129">
        <v>500</v>
      </c>
      <c r="G129">
        <v>4</v>
      </c>
      <c r="H129">
        <v>700</v>
      </c>
      <c r="I129">
        <f>Raw_Data!$F129-Raw_Data!$H129</f>
        <v>-200</v>
      </c>
      <c r="J129">
        <f>Raw_Data!$I129/Raw_Data!$F129</f>
        <v>-0.4</v>
      </c>
    </row>
    <row r="130" spans="1:10" x14ac:dyDescent="0.3">
      <c r="A130">
        <v>1009</v>
      </c>
      <c r="B130" s="1">
        <v>45675</v>
      </c>
      <c r="C130" t="s">
        <v>10</v>
      </c>
      <c r="D130" t="s">
        <v>24</v>
      </c>
      <c r="E130" t="s">
        <v>12</v>
      </c>
      <c r="F130">
        <v>950</v>
      </c>
      <c r="G130">
        <v>2</v>
      </c>
      <c r="H130">
        <v>700</v>
      </c>
      <c r="I130">
        <f>Raw_Data!$F130-Raw_Data!$H130</f>
        <v>250</v>
      </c>
      <c r="J130">
        <f>Raw_Data!$I130/Raw_Data!$F130</f>
        <v>0.26315789473684209</v>
      </c>
    </row>
    <row r="131" spans="1:10" x14ac:dyDescent="0.3">
      <c r="A131">
        <v>1010</v>
      </c>
      <c r="B131" s="1">
        <v>45677</v>
      </c>
      <c r="C131" t="s">
        <v>13</v>
      </c>
      <c r="D131" t="s">
        <v>25</v>
      </c>
      <c r="E131" t="s">
        <v>12</v>
      </c>
      <c r="F131">
        <v>1100</v>
      </c>
      <c r="G131">
        <v>2</v>
      </c>
      <c r="H131">
        <v>700</v>
      </c>
      <c r="I131">
        <f>Raw_Data!$F131-Raw_Data!$H131</f>
        <v>400</v>
      </c>
      <c r="J131">
        <f>Raw_Data!$I131/Raw_Data!$F131</f>
        <v>0.36363636363636365</v>
      </c>
    </row>
    <row r="132" spans="1:10" x14ac:dyDescent="0.3">
      <c r="A132">
        <v>1001</v>
      </c>
      <c r="B132" s="1">
        <v>45658</v>
      </c>
      <c r="C132" t="s">
        <v>10</v>
      </c>
      <c r="D132" t="s">
        <v>11</v>
      </c>
      <c r="E132" t="s">
        <v>12</v>
      </c>
      <c r="F132">
        <v>1200</v>
      </c>
      <c r="G132">
        <v>2</v>
      </c>
      <c r="H132">
        <v>700</v>
      </c>
      <c r="I132">
        <f>Raw_Data!$F132-Raw_Data!$H132</f>
        <v>500</v>
      </c>
      <c r="J132">
        <f>Raw_Data!$I132/Raw_Data!$F132</f>
        <v>0.41666666666666669</v>
      </c>
    </row>
    <row r="133" spans="1:10" x14ac:dyDescent="0.3">
      <c r="A133">
        <v>1002</v>
      </c>
      <c r="B133" s="1">
        <v>45659</v>
      </c>
      <c r="C133" t="s">
        <v>13</v>
      </c>
      <c r="D133" t="s">
        <v>14</v>
      </c>
      <c r="E133" t="s">
        <v>12</v>
      </c>
      <c r="F133">
        <v>200</v>
      </c>
      <c r="G133">
        <v>5</v>
      </c>
      <c r="H133">
        <v>700</v>
      </c>
      <c r="I133">
        <f>Raw_Data!$F133-Raw_Data!$H133</f>
        <v>-500</v>
      </c>
      <c r="J133">
        <f>Raw_Data!$I133/Raw_Data!$F133</f>
        <v>-2.5</v>
      </c>
    </row>
    <row r="134" spans="1:10" x14ac:dyDescent="0.3">
      <c r="A134">
        <v>1003</v>
      </c>
      <c r="B134" s="1">
        <v>45660</v>
      </c>
      <c r="C134" t="s">
        <v>15</v>
      </c>
      <c r="D134" t="s">
        <v>16</v>
      </c>
      <c r="E134" t="s">
        <v>12</v>
      </c>
      <c r="F134">
        <v>450</v>
      </c>
      <c r="G134">
        <v>3</v>
      </c>
      <c r="H134">
        <v>700</v>
      </c>
      <c r="I134">
        <f>Raw_Data!$F134-Raw_Data!$H134</f>
        <v>-250</v>
      </c>
      <c r="J134">
        <f>Raw_Data!$I134/Raw_Data!$F134</f>
        <v>-0.55555555555555558</v>
      </c>
    </row>
    <row r="135" spans="1:10" x14ac:dyDescent="0.3">
      <c r="A135">
        <v>1004</v>
      </c>
      <c r="B135" s="1">
        <v>45662</v>
      </c>
      <c r="C135" t="s">
        <v>17</v>
      </c>
      <c r="D135" t="s">
        <v>18</v>
      </c>
      <c r="E135" t="s">
        <v>12</v>
      </c>
      <c r="F135">
        <v>800</v>
      </c>
      <c r="G135">
        <v>2</v>
      </c>
      <c r="H135">
        <v>700</v>
      </c>
      <c r="I135">
        <f>Raw_Data!$F135-Raw_Data!$H135</f>
        <v>100</v>
      </c>
      <c r="J135">
        <f>Raw_Data!$I135/Raw_Data!$F135</f>
        <v>0.125</v>
      </c>
    </row>
    <row r="136" spans="1:10" x14ac:dyDescent="0.3">
      <c r="A136">
        <v>1005</v>
      </c>
      <c r="B136" s="1">
        <v>45665</v>
      </c>
      <c r="C136" t="s">
        <v>10</v>
      </c>
      <c r="D136" t="s">
        <v>19</v>
      </c>
      <c r="E136" t="s">
        <v>12</v>
      </c>
      <c r="F136">
        <v>1500</v>
      </c>
      <c r="G136">
        <v>1</v>
      </c>
      <c r="H136">
        <v>700</v>
      </c>
      <c r="I136">
        <f>Raw_Data!$F136-Raw_Data!$H136</f>
        <v>800</v>
      </c>
      <c r="J136">
        <f>Raw_Data!$I136/Raw_Data!$F136</f>
        <v>0.53333333333333333</v>
      </c>
    </row>
    <row r="137" spans="1:10" x14ac:dyDescent="0.3">
      <c r="A137">
        <v>1006</v>
      </c>
      <c r="B137" s="1">
        <v>45667</v>
      </c>
      <c r="C137" t="s">
        <v>13</v>
      </c>
      <c r="D137" t="s">
        <v>20</v>
      </c>
      <c r="E137" t="s">
        <v>21</v>
      </c>
      <c r="F137">
        <v>900</v>
      </c>
      <c r="G137">
        <v>3</v>
      </c>
      <c r="H137">
        <v>700</v>
      </c>
      <c r="I137">
        <f>Raw_Data!$F137-Raw_Data!$H137</f>
        <v>200</v>
      </c>
      <c r="J137">
        <f>Raw_Data!$I137/Raw_Data!$F137</f>
        <v>0.22222222222222221</v>
      </c>
    </row>
    <row r="138" spans="1:10" x14ac:dyDescent="0.3">
      <c r="A138">
        <v>1007</v>
      </c>
      <c r="B138" s="1">
        <v>45669</v>
      </c>
      <c r="C138" t="s">
        <v>15</v>
      </c>
      <c r="D138" t="s">
        <v>22</v>
      </c>
      <c r="E138" t="s">
        <v>21</v>
      </c>
      <c r="F138">
        <v>350</v>
      </c>
      <c r="G138">
        <v>7</v>
      </c>
      <c r="H138">
        <v>700</v>
      </c>
      <c r="I138">
        <f>Raw_Data!$F138-Raw_Data!$H138</f>
        <v>-350</v>
      </c>
      <c r="J138">
        <f>Raw_Data!$I138/Raw_Data!$F138</f>
        <v>-1</v>
      </c>
    </row>
    <row r="139" spans="1:10" x14ac:dyDescent="0.3">
      <c r="A139">
        <v>1008</v>
      </c>
      <c r="B139" s="1">
        <v>45672</v>
      </c>
      <c r="C139" t="s">
        <v>17</v>
      </c>
      <c r="D139" t="s">
        <v>23</v>
      </c>
      <c r="E139" t="s">
        <v>21</v>
      </c>
      <c r="F139">
        <v>500</v>
      </c>
      <c r="G139">
        <v>4</v>
      </c>
      <c r="H139">
        <v>700</v>
      </c>
      <c r="I139">
        <f>Raw_Data!$F139-Raw_Data!$H139</f>
        <v>-200</v>
      </c>
      <c r="J139">
        <f>Raw_Data!$I139/Raw_Data!$F139</f>
        <v>-0.4</v>
      </c>
    </row>
    <row r="140" spans="1:10" x14ac:dyDescent="0.3">
      <c r="A140">
        <v>1009</v>
      </c>
      <c r="B140" s="1">
        <v>45675</v>
      </c>
      <c r="C140" t="s">
        <v>10</v>
      </c>
      <c r="D140" t="s">
        <v>24</v>
      </c>
      <c r="E140" t="s">
        <v>12</v>
      </c>
      <c r="F140">
        <v>950</v>
      </c>
      <c r="G140">
        <v>2</v>
      </c>
      <c r="H140">
        <v>700</v>
      </c>
      <c r="I140">
        <f>Raw_Data!$F140-Raw_Data!$H140</f>
        <v>250</v>
      </c>
      <c r="J140">
        <f>Raw_Data!$I140/Raw_Data!$F140</f>
        <v>0.26315789473684209</v>
      </c>
    </row>
    <row r="141" spans="1:10" x14ac:dyDescent="0.3">
      <c r="A141">
        <v>1010</v>
      </c>
      <c r="B141" s="1">
        <v>45677</v>
      </c>
      <c r="C141" t="s">
        <v>13</v>
      </c>
      <c r="D141" t="s">
        <v>25</v>
      </c>
      <c r="E141" t="s">
        <v>12</v>
      </c>
      <c r="F141">
        <v>1100</v>
      </c>
      <c r="G141">
        <v>2</v>
      </c>
      <c r="H141">
        <v>700</v>
      </c>
      <c r="I141">
        <f>Raw_Data!$F141-Raw_Data!$H141</f>
        <v>400</v>
      </c>
      <c r="J141">
        <f>Raw_Data!$I141/Raw_Data!$F141</f>
        <v>0.36363636363636365</v>
      </c>
    </row>
    <row r="142" spans="1:10" x14ac:dyDescent="0.3">
      <c r="A142">
        <v>1001</v>
      </c>
      <c r="B142" s="1">
        <v>45658</v>
      </c>
      <c r="C142" t="s">
        <v>10</v>
      </c>
      <c r="D142" t="s">
        <v>11</v>
      </c>
      <c r="E142" t="s">
        <v>12</v>
      </c>
      <c r="F142">
        <v>1200</v>
      </c>
      <c r="G142">
        <v>2</v>
      </c>
      <c r="H142">
        <v>700</v>
      </c>
      <c r="I142">
        <f>Raw_Data!$F142-Raw_Data!$H142</f>
        <v>500</v>
      </c>
      <c r="J142">
        <f>Raw_Data!$I142/Raw_Data!$F142</f>
        <v>0.41666666666666669</v>
      </c>
    </row>
    <row r="143" spans="1:10" x14ac:dyDescent="0.3">
      <c r="A143">
        <v>1002</v>
      </c>
      <c r="B143" s="1">
        <v>45659</v>
      </c>
      <c r="C143" t="s">
        <v>13</v>
      </c>
      <c r="D143" t="s">
        <v>14</v>
      </c>
      <c r="E143" t="s">
        <v>12</v>
      </c>
      <c r="F143">
        <v>200</v>
      </c>
      <c r="G143">
        <v>5</v>
      </c>
      <c r="H143">
        <v>700</v>
      </c>
      <c r="I143">
        <f>Raw_Data!$F143-Raw_Data!$H143</f>
        <v>-500</v>
      </c>
      <c r="J143">
        <f>Raw_Data!$I143/Raw_Data!$F143</f>
        <v>-2.5</v>
      </c>
    </row>
    <row r="144" spans="1:10" x14ac:dyDescent="0.3">
      <c r="A144">
        <v>1003</v>
      </c>
      <c r="B144" s="1">
        <v>45660</v>
      </c>
      <c r="C144" t="s">
        <v>15</v>
      </c>
      <c r="D144" t="s">
        <v>16</v>
      </c>
      <c r="E144" t="s">
        <v>12</v>
      </c>
      <c r="F144">
        <v>450</v>
      </c>
      <c r="G144">
        <v>3</v>
      </c>
      <c r="H144">
        <v>700</v>
      </c>
      <c r="I144">
        <f>Raw_Data!$F144-Raw_Data!$H144</f>
        <v>-250</v>
      </c>
      <c r="J144">
        <f>Raw_Data!$I144/Raw_Data!$F144</f>
        <v>-0.55555555555555558</v>
      </c>
    </row>
    <row r="145" spans="1:10" x14ac:dyDescent="0.3">
      <c r="A145">
        <v>1004</v>
      </c>
      <c r="B145" s="1">
        <v>45662</v>
      </c>
      <c r="C145" t="s">
        <v>17</v>
      </c>
      <c r="D145" t="s">
        <v>18</v>
      </c>
      <c r="E145" t="s">
        <v>12</v>
      </c>
      <c r="F145">
        <v>800</v>
      </c>
      <c r="G145">
        <v>2</v>
      </c>
      <c r="H145">
        <v>700</v>
      </c>
      <c r="I145">
        <f>Raw_Data!$F145-Raw_Data!$H145</f>
        <v>100</v>
      </c>
      <c r="J145">
        <f>Raw_Data!$I145/Raw_Data!$F145</f>
        <v>0.125</v>
      </c>
    </row>
    <row r="146" spans="1:10" x14ac:dyDescent="0.3">
      <c r="A146">
        <v>1005</v>
      </c>
      <c r="B146" s="1">
        <v>45665</v>
      </c>
      <c r="C146" t="s">
        <v>10</v>
      </c>
      <c r="D146" t="s">
        <v>19</v>
      </c>
      <c r="E146" t="s">
        <v>12</v>
      </c>
      <c r="F146">
        <v>1500</v>
      </c>
      <c r="G146">
        <v>1</v>
      </c>
      <c r="H146">
        <v>700</v>
      </c>
      <c r="I146">
        <f>Raw_Data!$F146-Raw_Data!$H146</f>
        <v>800</v>
      </c>
      <c r="J146">
        <f>Raw_Data!$I146/Raw_Data!$F146</f>
        <v>0.53333333333333333</v>
      </c>
    </row>
    <row r="147" spans="1:10" x14ac:dyDescent="0.3">
      <c r="A147">
        <v>1006</v>
      </c>
      <c r="B147" s="1">
        <v>45667</v>
      </c>
      <c r="C147" t="s">
        <v>13</v>
      </c>
      <c r="D147" t="s">
        <v>20</v>
      </c>
      <c r="E147" t="s">
        <v>21</v>
      </c>
      <c r="F147">
        <v>900</v>
      </c>
      <c r="G147">
        <v>3</v>
      </c>
      <c r="H147">
        <v>700</v>
      </c>
      <c r="I147">
        <f>Raw_Data!$F147-Raw_Data!$H147</f>
        <v>200</v>
      </c>
      <c r="J147">
        <f>Raw_Data!$I147/Raw_Data!$F147</f>
        <v>0.22222222222222221</v>
      </c>
    </row>
    <row r="148" spans="1:10" x14ac:dyDescent="0.3">
      <c r="A148">
        <v>1007</v>
      </c>
      <c r="B148" s="1">
        <v>45669</v>
      </c>
      <c r="C148" t="s">
        <v>15</v>
      </c>
      <c r="D148" t="s">
        <v>22</v>
      </c>
      <c r="E148" t="s">
        <v>21</v>
      </c>
      <c r="F148">
        <v>350</v>
      </c>
      <c r="G148">
        <v>7</v>
      </c>
      <c r="H148">
        <v>700</v>
      </c>
      <c r="I148">
        <f>Raw_Data!$F148-Raw_Data!$H148</f>
        <v>-350</v>
      </c>
      <c r="J148">
        <f>Raw_Data!$I148/Raw_Data!$F148</f>
        <v>-1</v>
      </c>
    </row>
    <row r="149" spans="1:10" x14ac:dyDescent="0.3">
      <c r="A149">
        <v>1008</v>
      </c>
      <c r="B149" s="1">
        <v>45672</v>
      </c>
      <c r="C149" t="s">
        <v>17</v>
      </c>
      <c r="D149" t="s">
        <v>23</v>
      </c>
      <c r="E149" t="s">
        <v>21</v>
      </c>
      <c r="F149">
        <v>500</v>
      </c>
      <c r="G149">
        <v>4</v>
      </c>
      <c r="H149">
        <v>700</v>
      </c>
      <c r="I149">
        <f>Raw_Data!$F149-Raw_Data!$H149</f>
        <v>-200</v>
      </c>
      <c r="J149">
        <f>Raw_Data!$I149/Raw_Data!$F149</f>
        <v>-0.4</v>
      </c>
    </row>
    <row r="150" spans="1:10" x14ac:dyDescent="0.3">
      <c r="A150">
        <v>1009</v>
      </c>
      <c r="B150" s="1">
        <v>45675</v>
      </c>
      <c r="C150" t="s">
        <v>10</v>
      </c>
      <c r="D150" t="s">
        <v>24</v>
      </c>
      <c r="E150" t="s">
        <v>12</v>
      </c>
      <c r="F150">
        <v>950</v>
      </c>
      <c r="G150">
        <v>2</v>
      </c>
      <c r="H150">
        <v>700</v>
      </c>
      <c r="I150">
        <f>Raw_Data!$F150-Raw_Data!$H150</f>
        <v>250</v>
      </c>
      <c r="J150">
        <f>Raw_Data!$I150/Raw_Data!$F150</f>
        <v>0.26315789473684209</v>
      </c>
    </row>
    <row r="151" spans="1:10" x14ac:dyDescent="0.3">
      <c r="A151">
        <v>1010</v>
      </c>
      <c r="B151" s="1">
        <v>45677</v>
      </c>
      <c r="C151" t="s">
        <v>13</v>
      </c>
      <c r="D151" t="s">
        <v>25</v>
      </c>
      <c r="E151" t="s">
        <v>12</v>
      </c>
      <c r="F151">
        <v>1100</v>
      </c>
      <c r="G151">
        <v>2</v>
      </c>
      <c r="H151">
        <v>700</v>
      </c>
      <c r="I151">
        <f>Raw_Data!$F151-Raw_Data!$H151</f>
        <v>400</v>
      </c>
      <c r="J151">
        <f>Raw_Data!$I151/Raw_Data!$F151</f>
        <v>0.36363636363636365</v>
      </c>
    </row>
    <row r="152" spans="1:10" x14ac:dyDescent="0.3">
      <c r="A152">
        <v>1001</v>
      </c>
      <c r="B152" s="1">
        <v>45658</v>
      </c>
      <c r="C152" t="s">
        <v>10</v>
      </c>
      <c r="D152" t="s">
        <v>11</v>
      </c>
      <c r="E152" t="s">
        <v>12</v>
      </c>
      <c r="F152">
        <v>1200</v>
      </c>
      <c r="G152">
        <v>2</v>
      </c>
      <c r="H152">
        <v>700</v>
      </c>
      <c r="I152">
        <f>Raw_Data!$F152-Raw_Data!$H152</f>
        <v>500</v>
      </c>
      <c r="J152">
        <f>Raw_Data!$I152/Raw_Data!$F152</f>
        <v>0.41666666666666669</v>
      </c>
    </row>
    <row r="153" spans="1:10" x14ac:dyDescent="0.3">
      <c r="A153">
        <v>1002</v>
      </c>
      <c r="B153" s="1">
        <v>45659</v>
      </c>
      <c r="C153" t="s">
        <v>13</v>
      </c>
      <c r="D153" t="s">
        <v>14</v>
      </c>
      <c r="E153" t="s">
        <v>12</v>
      </c>
      <c r="F153">
        <v>200</v>
      </c>
      <c r="G153">
        <v>5</v>
      </c>
      <c r="H153">
        <v>700</v>
      </c>
      <c r="I153">
        <f>Raw_Data!$F153-Raw_Data!$H153</f>
        <v>-500</v>
      </c>
      <c r="J153">
        <f>Raw_Data!$I153/Raw_Data!$F153</f>
        <v>-2.5</v>
      </c>
    </row>
    <row r="154" spans="1:10" x14ac:dyDescent="0.3">
      <c r="A154">
        <v>1003</v>
      </c>
      <c r="B154" s="1">
        <v>45660</v>
      </c>
      <c r="C154" t="s">
        <v>15</v>
      </c>
      <c r="D154" t="s">
        <v>16</v>
      </c>
      <c r="E154" t="s">
        <v>12</v>
      </c>
      <c r="F154">
        <v>450</v>
      </c>
      <c r="G154">
        <v>3</v>
      </c>
      <c r="H154">
        <v>700</v>
      </c>
      <c r="I154">
        <f>Raw_Data!$F154-Raw_Data!$H154</f>
        <v>-250</v>
      </c>
      <c r="J154">
        <f>Raw_Data!$I154/Raw_Data!$F154</f>
        <v>-0.55555555555555558</v>
      </c>
    </row>
    <row r="155" spans="1:10" x14ac:dyDescent="0.3">
      <c r="A155">
        <v>1004</v>
      </c>
      <c r="B155" s="1">
        <v>45662</v>
      </c>
      <c r="C155" t="s">
        <v>17</v>
      </c>
      <c r="D155" t="s">
        <v>18</v>
      </c>
      <c r="E155" t="s">
        <v>12</v>
      </c>
      <c r="F155">
        <v>800</v>
      </c>
      <c r="G155">
        <v>2</v>
      </c>
      <c r="H155">
        <v>700</v>
      </c>
      <c r="I155">
        <f>Raw_Data!$F155-Raw_Data!$H155</f>
        <v>100</v>
      </c>
      <c r="J155">
        <f>Raw_Data!$I155/Raw_Data!$F155</f>
        <v>0.125</v>
      </c>
    </row>
    <row r="156" spans="1:10" x14ac:dyDescent="0.3">
      <c r="A156">
        <v>1005</v>
      </c>
      <c r="B156" s="1">
        <v>45665</v>
      </c>
      <c r="C156" t="s">
        <v>10</v>
      </c>
      <c r="D156" t="s">
        <v>19</v>
      </c>
      <c r="E156" t="s">
        <v>12</v>
      </c>
      <c r="F156">
        <v>1500</v>
      </c>
      <c r="G156">
        <v>1</v>
      </c>
      <c r="H156">
        <v>700</v>
      </c>
      <c r="I156">
        <f>Raw_Data!$F156-Raw_Data!$H156</f>
        <v>800</v>
      </c>
      <c r="J156">
        <f>Raw_Data!$I156/Raw_Data!$F156</f>
        <v>0.53333333333333333</v>
      </c>
    </row>
    <row r="157" spans="1:10" x14ac:dyDescent="0.3">
      <c r="A157">
        <v>1006</v>
      </c>
      <c r="B157" s="1">
        <v>45667</v>
      </c>
      <c r="C157" t="s">
        <v>13</v>
      </c>
      <c r="D157" t="s">
        <v>20</v>
      </c>
      <c r="E157" t="s">
        <v>21</v>
      </c>
      <c r="F157">
        <v>900</v>
      </c>
      <c r="G157">
        <v>3</v>
      </c>
      <c r="H157">
        <v>700</v>
      </c>
      <c r="I157">
        <f>Raw_Data!$F157-Raw_Data!$H157</f>
        <v>200</v>
      </c>
      <c r="J157">
        <f>Raw_Data!$I157/Raw_Data!$F157</f>
        <v>0.22222222222222221</v>
      </c>
    </row>
    <row r="158" spans="1:10" x14ac:dyDescent="0.3">
      <c r="A158">
        <v>1007</v>
      </c>
      <c r="B158" s="1">
        <v>45669</v>
      </c>
      <c r="C158" t="s">
        <v>15</v>
      </c>
      <c r="D158" t="s">
        <v>22</v>
      </c>
      <c r="E158" t="s">
        <v>21</v>
      </c>
      <c r="F158">
        <v>350</v>
      </c>
      <c r="G158">
        <v>7</v>
      </c>
      <c r="H158">
        <v>700</v>
      </c>
      <c r="I158">
        <f>Raw_Data!$F158-Raw_Data!$H158</f>
        <v>-350</v>
      </c>
      <c r="J158">
        <f>Raw_Data!$I158/Raw_Data!$F158</f>
        <v>-1</v>
      </c>
    </row>
    <row r="159" spans="1:10" x14ac:dyDescent="0.3">
      <c r="A159">
        <v>1008</v>
      </c>
      <c r="B159" s="1">
        <v>45672</v>
      </c>
      <c r="C159" t="s">
        <v>17</v>
      </c>
      <c r="D159" t="s">
        <v>23</v>
      </c>
      <c r="E159" t="s">
        <v>21</v>
      </c>
      <c r="F159">
        <v>500</v>
      </c>
      <c r="G159">
        <v>4</v>
      </c>
      <c r="H159">
        <v>700</v>
      </c>
      <c r="I159">
        <f>Raw_Data!$F159-Raw_Data!$H159</f>
        <v>-200</v>
      </c>
      <c r="J159">
        <f>Raw_Data!$I159/Raw_Data!$F159</f>
        <v>-0.4</v>
      </c>
    </row>
    <row r="160" spans="1:10" x14ac:dyDescent="0.3">
      <c r="A160">
        <v>1009</v>
      </c>
      <c r="B160" s="1">
        <v>45675</v>
      </c>
      <c r="C160" t="s">
        <v>10</v>
      </c>
      <c r="D160" t="s">
        <v>24</v>
      </c>
      <c r="E160" t="s">
        <v>12</v>
      </c>
      <c r="F160">
        <v>950</v>
      </c>
      <c r="G160">
        <v>2</v>
      </c>
      <c r="H160">
        <v>700</v>
      </c>
      <c r="I160">
        <f>Raw_Data!$F160-Raw_Data!$H160</f>
        <v>250</v>
      </c>
      <c r="J160">
        <f>Raw_Data!$I160/Raw_Data!$F160</f>
        <v>0.26315789473684209</v>
      </c>
    </row>
    <row r="161" spans="1:10" x14ac:dyDescent="0.3">
      <c r="A161">
        <v>1010</v>
      </c>
      <c r="B161" s="1">
        <v>45677</v>
      </c>
      <c r="C161" t="s">
        <v>13</v>
      </c>
      <c r="D161" t="s">
        <v>25</v>
      </c>
      <c r="E161" t="s">
        <v>12</v>
      </c>
      <c r="F161">
        <v>1100</v>
      </c>
      <c r="G161">
        <v>2</v>
      </c>
      <c r="H161">
        <v>700</v>
      </c>
      <c r="I161">
        <f>Raw_Data!$F161-Raw_Data!$H161</f>
        <v>400</v>
      </c>
      <c r="J161">
        <f>Raw_Data!$I161/Raw_Data!$F161</f>
        <v>0.36363636363636365</v>
      </c>
    </row>
    <row r="162" spans="1:10" x14ac:dyDescent="0.3">
      <c r="A162">
        <v>1001</v>
      </c>
      <c r="B162" s="1">
        <v>45658</v>
      </c>
      <c r="C162" t="s">
        <v>10</v>
      </c>
      <c r="D162" t="s">
        <v>11</v>
      </c>
      <c r="E162" t="s">
        <v>12</v>
      </c>
      <c r="F162">
        <v>1200</v>
      </c>
      <c r="G162">
        <v>2</v>
      </c>
      <c r="H162">
        <v>700</v>
      </c>
      <c r="I162">
        <f>Raw_Data!$F162-Raw_Data!$H162</f>
        <v>500</v>
      </c>
      <c r="J162">
        <f>Raw_Data!$I162/Raw_Data!$F162</f>
        <v>0.41666666666666669</v>
      </c>
    </row>
    <row r="163" spans="1:10" x14ac:dyDescent="0.3">
      <c r="A163">
        <v>1002</v>
      </c>
      <c r="B163" s="1">
        <v>45659</v>
      </c>
      <c r="C163" t="s">
        <v>13</v>
      </c>
      <c r="D163" t="s">
        <v>14</v>
      </c>
      <c r="E163" t="s">
        <v>12</v>
      </c>
      <c r="F163">
        <v>200</v>
      </c>
      <c r="G163">
        <v>5</v>
      </c>
      <c r="H163">
        <v>700</v>
      </c>
      <c r="I163">
        <f>Raw_Data!$F163-Raw_Data!$H163</f>
        <v>-500</v>
      </c>
      <c r="J163">
        <f>Raw_Data!$I163/Raw_Data!$F163</f>
        <v>-2.5</v>
      </c>
    </row>
    <row r="164" spans="1:10" x14ac:dyDescent="0.3">
      <c r="A164">
        <v>1003</v>
      </c>
      <c r="B164" s="1">
        <v>45660</v>
      </c>
      <c r="C164" t="s">
        <v>15</v>
      </c>
      <c r="D164" t="s">
        <v>16</v>
      </c>
      <c r="E164" t="s">
        <v>12</v>
      </c>
      <c r="F164">
        <v>450</v>
      </c>
      <c r="G164">
        <v>3</v>
      </c>
      <c r="H164">
        <v>700</v>
      </c>
      <c r="I164">
        <f>Raw_Data!$F164-Raw_Data!$H164</f>
        <v>-250</v>
      </c>
      <c r="J164">
        <f>Raw_Data!$I164/Raw_Data!$F164</f>
        <v>-0.55555555555555558</v>
      </c>
    </row>
    <row r="165" spans="1:10" x14ac:dyDescent="0.3">
      <c r="A165">
        <v>1004</v>
      </c>
      <c r="B165" s="1">
        <v>45662</v>
      </c>
      <c r="C165" t="s">
        <v>17</v>
      </c>
      <c r="D165" t="s">
        <v>18</v>
      </c>
      <c r="E165" t="s">
        <v>12</v>
      </c>
      <c r="F165">
        <v>800</v>
      </c>
      <c r="G165">
        <v>2</v>
      </c>
      <c r="H165">
        <v>700</v>
      </c>
      <c r="I165">
        <f>Raw_Data!$F165-Raw_Data!$H165</f>
        <v>100</v>
      </c>
      <c r="J165">
        <f>Raw_Data!$I165/Raw_Data!$F165</f>
        <v>0.125</v>
      </c>
    </row>
    <row r="166" spans="1:10" x14ac:dyDescent="0.3">
      <c r="A166">
        <v>1005</v>
      </c>
      <c r="B166" s="1">
        <v>45665</v>
      </c>
      <c r="C166" t="s">
        <v>10</v>
      </c>
      <c r="D166" t="s">
        <v>19</v>
      </c>
      <c r="E166" t="s">
        <v>12</v>
      </c>
      <c r="F166">
        <v>1500</v>
      </c>
      <c r="G166">
        <v>1</v>
      </c>
      <c r="H166">
        <v>700</v>
      </c>
      <c r="I166">
        <f>Raw_Data!$F166-Raw_Data!$H166</f>
        <v>800</v>
      </c>
      <c r="J166">
        <f>Raw_Data!$I166/Raw_Data!$F166</f>
        <v>0.53333333333333333</v>
      </c>
    </row>
    <row r="167" spans="1:10" x14ac:dyDescent="0.3">
      <c r="A167">
        <v>1006</v>
      </c>
      <c r="B167" s="1">
        <v>45667</v>
      </c>
      <c r="C167" t="s">
        <v>13</v>
      </c>
      <c r="D167" t="s">
        <v>20</v>
      </c>
      <c r="E167" t="s">
        <v>21</v>
      </c>
      <c r="F167">
        <v>900</v>
      </c>
      <c r="G167">
        <v>3</v>
      </c>
      <c r="H167">
        <v>700</v>
      </c>
      <c r="I167">
        <f>Raw_Data!$F167-Raw_Data!$H167</f>
        <v>200</v>
      </c>
      <c r="J167">
        <f>Raw_Data!$I167/Raw_Data!$F167</f>
        <v>0.22222222222222221</v>
      </c>
    </row>
    <row r="168" spans="1:10" x14ac:dyDescent="0.3">
      <c r="A168">
        <v>1007</v>
      </c>
      <c r="B168" s="1">
        <v>45669</v>
      </c>
      <c r="C168" t="s">
        <v>15</v>
      </c>
      <c r="D168" t="s">
        <v>22</v>
      </c>
      <c r="E168" t="s">
        <v>21</v>
      </c>
      <c r="F168">
        <v>350</v>
      </c>
      <c r="G168">
        <v>7</v>
      </c>
      <c r="H168">
        <v>700</v>
      </c>
      <c r="I168">
        <f>Raw_Data!$F168-Raw_Data!$H168</f>
        <v>-350</v>
      </c>
      <c r="J168">
        <f>Raw_Data!$I168/Raw_Data!$F168</f>
        <v>-1</v>
      </c>
    </row>
    <row r="169" spans="1:10" x14ac:dyDescent="0.3">
      <c r="A169">
        <v>1008</v>
      </c>
      <c r="B169" s="1">
        <v>45672</v>
      </c>
      <c r="C169" t="s">
        <v>17</v>
      </c>
      <c r="D169" t="s">
        <v>23</v>
      </c>
      <c r="E169" t="s">
        <v>21</v>
      </c>
      <c r="F169">
        <v>500</v>
      </c>
      <c r="G169">
        <v>4</v>
      </c>
      <c r="H169">
        <v>700</v>
      </c>
      <c r="I169">
        <f>Raw_Data!$F169-Raw_Data!$H169</f>
        <v>-200</v>
      </c>
      <c r="J169">
        <f>Raw_Data!$I169/Raw_Data!$F169</f>
        <v>-0.4</v>
      </c>
    </row>
    <row r="170" spans="1:10" x14ac:dyDescent="0.3">
      <c r="A170">
        <v>1009</v>
      </c>
      <c r="B170" s="1">
        <v>45675</v>
      </c>
      <c r="C170" t="s">
        <v>10</v>
      </c>
      <c r="D170" t="s">
        <v>24</v>
      </c>
      <c r="E170" t="s">
        <v>12</v>
      </c>
      <c r="F170">
        <v>950</v>
      </c>
      <c r="G170">
        <v>2</v>
      </c>
      <c r="H170">
        <v>700</v>
      </c>
      <c r="I170">
        <f>Raw_Data!$F170-Raw_Data!$H170</f>
        <v>250</v>
      </c>
      <c r="J170">
        <f>Raw_Data!$I170/Raw_Data!$F170</f>
        <v>0.26315789473684209</v>
      </c>
    </row>
    <row r="171" spans="1:10" x14ac:dyDescent="0.3">
      <c r="A171">
        <v>1010</v>
      </c>
      <c r="B171" s="1">
        <v>45677</v>
      </c>
      <c r="C171" t="s">
        <v>13</v>
      </c>
      <c r="D171" t="s">
        <v>25</v>
      </c>
      <c r="E171" t="s">
        <v>12</v>
      </c>
      <c r="F171">
        <v>1100</v>
      </c>
      <c r="G171">
        <v>2</v>
      </c>
      <c r="H171">
        <v>700</v>
      </c>
      <c r="I171">
        <f>Raw_Data!$F171-Raw_Data!$H171</f>
        <v>400</v>
      </c>
      <c r="J171">
        <f>Raw_Data!$I171/Raw_Data!$F171</f>
        <v>0.36363636363636365</v>
      </c>
    </row>
    <row r="172" spans="1:10" x14ac:dyDescent="0.3">
      <c r="A172">
        <v>1001</v>
      </c>
      <c r="B172" s="1">
        <v>45658</v>
      </c>
      <c r="C172" t="s">
        <v>10</v>
      </c>
      <c r="D172" t="s">
        <v>11</v>
      </c>
      <c r="E172" t="s">
        <v>12</v>
      </c>
      <c r="F172">
        <v>1200</v>
      </c>
      <c r="G172">
        <v>2</v>
      </c>
      <c r="H172">
        <v>700</v>
      </c>
      <c r="I172">
        <f>Raw_Data!$F172-Raw_Data!$H172</f>
        <v>500</v>
      </c>
      <c r="J172">
        <f>Raw_Data!$I172/Raw_Data!$F172</f>
        <v>0.41666666666666669</v>
      </c>
    </row>
    <row r="173" spans="1:10" x14ac:dyDescent="0.3">
      <c r="A173">
        <v>1002</v>
      </c>
      <c r="B173" s="1">
        <v>45659</v>
      </c>
      <c r="C173" t="s">
        <v>13</v>
      </c>
      <c r="D173" t="s">
        <v>14</v>
      </c>
      <c r="E173" t="s">
        <v>12</v>
      </c>
      <c r="F173">
        <v>200</v>
      </c>
      <c r="G173">
        <v>5</v>
      </c>
      <c r="H173">
        <v>700</v>
      </c>
      <c r="I173">
        <f>Raw_Data!$F173-Raw_Data!$H173</f>
        <v>-500</v>
      </c>
      <c r="J173">
        <f>Raw_Data!$I173/Raw_Data!$F173</f>
        <v>-2.5</v>
      </c>
    </row>
    <row r="174" spans="1:10" x14ac:dyDescent="0.3">
      <c r="A174">
        <v>1003</v>
      </c>
      <c r="B174" s="1">
        <v>45660</v>
      </c>
      <c r="C174" t="s">
        <v>15</v>
      </c>
      <c r="D174" t="s">
        <v>16</v>
      </c>
      <c r="E174" t="s">
        <v>12</v>
      </c>
      <c r="F174">
        <v>450</v>
      </c>
      <c r="G174">
        <v>3</v>
      </c>
      <c r="H174">
        <v>700</v>
      </c>
      <c r="I174">
        <f>Raw_Data!$F174-Raw_Data!$H174</f>
        <v>-250</v>
      </c>
      <c r="J174">
        <f>Raw_Data!$I174/Raw_Data!$F174</f>
        <v>-0.55555555555555558</v>
      </c>
    </row>
    <row r="175" spans="1:10" x14ac:dyDescent="0.3">
      <c r="A175">
        <v>1004</v>
      </c>
      <c r="B175" s="1">
        <v>45662</v>
      </c>
      <c r="C175" t="s">
        <v>17</v>
      </c>
      <c r="D175" t="s">
        <v>18</v>
      </c>
      <c r="E175" t="s">
        <v>12</v>
      </c>
      <c r="F175">
        <v>800</v>
      </c>
      <c r="G175">
        <v>2</v>
      </c>
      <c r="H175">
        <v>700</v>
      </c>
      <c r="I175">
        <f>Raw_Data!$F175-Raw_Data!$H175</f>
        <v>100</v>
      </c>
      <c r="J175">
        <f>Raw_Data!$I175/Raw_Data!$F175</f>
        <v>0.125</v>
      </c>
    </row>
    <row r="176" spans="1:10" x14ac:dyDescent="0.3">
      <c r="A176">
        <v>1005</v>
      </c>
      <c r="B176" s="1">
        <v>45665</v>
      </c>
      <c r="C176" t="s">
        <v>10</v>
      </c>
      <c r="D176" t="s">
        <v>19</v>
      </c>
      <c r="E176" t="s">
        <v>12</v>
      </c>
      <c r="F176">
        <v>1500</v>
      </c>
      <c r="G176">
        <v>1</v>
      </c>
      <c r="H176">
        <v>700</v>
      </c>
      <c r="I176">
        <f>Raw_Data!$F176-Raw_Data!$H176</f>
        <v>800</v>
      </c>
      <c r="J176">
        <f>Raw_Data!$I176/Raw_Data!$F176</f>
        <v>0.53333333333333333</v>
      </c>
    </row>
    <row r="177" spans="1:10" x14ac:dyDescent="0.3">
      <c r="A177">
        <v>1006</v>
      </c>
      <c r="B177" s="1">
        <v>45667</v>
      </c>
      <c r="C177" t="s">
        <v>13</v>
      </c>
      <c r="D177" t="s">
        <v>20</v>
      </c>
      <c r="E177" t="s">
        <v>21</v>
      </c>
      <c r="F177">
        <v>900</v>
      </c>
      <c r="G177">
        <v>3</v>
      </c>
      <c r="H177">
        <v>700</v>
      </c>
      <c r="I177">
        <f>Raw_Data!$F177-Raw_Data!$H177</f>
        <v>200</v>
      </c>
      <c r="J177">
        <f>Raw_Data!$I177/Raw_Data!$F177</f>
        <v>0.22222222222222221</v>
      </c>
    </row>
    <row r="178" spans="1:10" x14ac:dyDescent="0.3">
      <c r="A178">
        <v>1007</v>
      </c>
      <c r="B178" s="1">
        <v>45669</v>
      </c>
      <c r="C178" t="s">
        <v>15</v>
      </c>
      <c r="D178" t="s">
        <v>22</v>
      </c>
      <c r="E178" t="s">
        <v>21</v>
      </c>
      <c r="F178">
        <v>350</v>
      </c>
      <c r="G178">
        <v>7</v>
      </c>
      <c r="H178">
        <v>700</v>
      </c>
      <c r="I178">
        <f>Raw_Data!$F178-Raw_Data!$H178</f>
        <v>-350</v>
      </c>
      <c r="J178">
        <f>Raw_Data!$I178/Raw_Data!$F178</f>
        <v>-1</v>
      </c>
    </row>
    <row r="179" spans="1:10" x14ac:dyDescent="0.3">
      <c r="A179">
        <v>1008</v>
      </c>
      <c r="B179" s="1">
        <v>45672</v>
      </c>
      <c r="C179" t="s">
        <v>17</v>
      </c>
      <c r="D179" t="s">
        <v>23</v>
      </c>
      <c r="E179" t="s">
        <v>21</v>
      </c>
      <c r="F179">
        <v>500</v>
      </c>
      <c r="G179">
        <v>4</v>
      </c>
      <c r="H179">
        <v>700</v>
      </c>
      <c r="I179">
        <f>Raw_Data!$F179-Raw_Data!$H179</f>
        <v>-200</v>
      </c>
      <c r="J179">
        <f>Raw_Data!$I179/Raw_Data!$F179</f>
        <v>-0.4</v>
      </c>
    </row>
    <row r="180" spans="1:10" x14ac:dyDescent="0.3">
      <c r="A180">
        <v>1009</v>
      </c>
      <c r="B180" s="1">
        <v>45675</v>
      </c>
      <c r="C180" t="s">
        <v>10</v>
      </c>
      <c r="D180" t="s">
        <v>24</v>
      </c>
      <c r="E180" t="s">
        <v>12</v>
      </c>
      <c r="F180">
        <v>950</v>
      </c>
      <c r="G180">
        <v>2</v>
      </c>
      <c r="H180">
        <v>700</v>
      </c>
      <c r="I180">
        <f>Raw_Data!$F180-Raw_Data!$H180</f>
        <v>250</v>
      </c>
      <c r="J180">
        <f>Raw_Data!$I180/Raw_Data!$F180</f>
        <v>0.26315789473684209</v>
      </c>
    </row>
    <row r="181" spans="1:10" x14ac:dyDescent="0.3">
      <c r="A181">
        <v>1010</v>
      </c>
      <c r="B181" s="1">
        <v>45677</v>
      </c>
      <c r="C181" t="s">
        <v>13</v>
      </c>
      <c r="D181" t="s">
        <v>25</v>
      </c>
      <c r="E181" t="s">
        <v>12</v>
      </c>
      <c r="F181">
        <v>1100</v>
      </c>
      <c r="G181">
        <v>2</v>
      </c>
      <c r="H181">
        <v>700</v>
      </c>
      <c r="I181">
        <f>Raw_Data!$F181-Raw_Data!$H181</f>
        <v>400</v>
      </c>
      <c r="J181">
        <f>Raw_Data!$I181/Raw_Data!$F181</f>
        <v>0.36363636363636365</v>
      </c>
    </row>
    <row r="182" spans="1:10" x14ac:dyDescent="0.3">
      <c r="A182">
        <v>1001</v>
      </c>
      <c r="B182" s="1">
        <v>45658</v>
      </c>
      <c r="C182" t="s">
        <v>10</v>
      </c>
      <c r="D182" t="s">
        <v>11</v>
      </c>
      <c r="E182" t="s">
        <v>12</v>
      </c>
      <c r="F182">
        <v>1200</v>
      </c>
      <c r="G182">
        <v>2</v>
      </c>
      <c r="H182">
        <v>700</v>
      </c>
      <c r="I182">
        <f>Raw_Data!$F182-Raw_Data!$H182</f>
        <v>500</v>
      </c>
      <c r="J182">
        <f>Raw_Data!$I182/Raw_Data!$F182</f>
        <v>0.41666666666666669</v>
      </c>
    </row>
    <row r="183" spans="1:10" x14ac:dyDescent="0.3">
      <c r="A183">
        <v>1002</v>
      </c>
      <c r="B183" s="1">
        <v>45659</v>
      </c>
      <c r="C183" t="s">
        <v>13</v>
      </c>
      <c r="D183" t="s">
        <v>14</v>
      </c>
      <c r="E183" t="s">
        <v>12</v>
      </c>
      <c r="F183">
        <v>200</v>
      </c>
      <c r="G183">
        <v>5</v>
      </c>
      <c r="H183">
        <v>700</v>
      </c>
      <c r="I183">
        <f>Raw_Data!$F183-Raw_Data!$H183</f>
        <v>-500</v>
      </c>
      <c r="J183">
        <f>Raw_Data!$I183/Raw_Data!$F183</f>
        <v>-2.5</v>
      </c>
    </row>
    <row r="184" spans="1:10" x14ac:dyDescent="0.3">
      <c r="A184">
        <v>1003</v>
      </c>
      <c r="B184" s="1">
        <v>45660</v>
      </c>
      <c r="C184" t="s">
        <v>15</v>
      </c>
      <c r="D184" t="s">
        <v>16</v>
      </c>
      <c r="E184" t="s">
        <v>12</v>
      </c>
      <c r="F184">
        <v>450</v>
      </c>
      <c r="G184">
        <v>3</v>
      </c>
      <c r="H184">
        <v>700</v>
      </c>
      <c r="I184">
        <f>Raw_Data!$F184-Raw_Data!$H184</f>
        <v>-250</v>
      </c>
      <c r="J184">
        <f>Raw_Data!$I184/Raw_Data!$F184</f>
        <v>-0.55555555555555558</v>
      </c>
    </row>
    <row r="185" spans="1:10" x14ac:dyDescent="0.3">
      <c r="A185">
        <v>1004</v>
      </c>
      <c r="B185" s="1">
        <v>45662</v>
      </c>
      <c r="C185" t="s">
        <v>17</v>
      </c>
      <c r="D185" t="s">
        <v>18</v>
      </c>
      <c r="E185" t="s">
        <v>12</v>
      </c>
      <c r="F185">
        <v>800</v>
      </c>
      <c r="G185">
        <v>2</v>
      </c>
      <c r="H185">
        <v>700</v>
      </c>
      <c r="I185">
        <f>Raw_Data!$F185-Raw_Data!$H185</f>
        <v>100</v>
      </c>
      <c r="J185">
        <f>Raw_Data!$I185/Raw_Data!$F185</f>
        <v>0.125</v>
      </c>
    </row>
    <row r="186" spans="1:10" x14ac:dyDescent="0.3">
      <c r="A186">
        <v>1005</v>
      </c>
      <c r="B186" s="1">
        <v>45665</v>
      </c>
      <c r="C186" t="s">
        <v>10</v>
      </c>
      <c r="D186" t="s">
        <v>19</v>
      </c>
      <c r="E186" t="s">
        <v>12</v>
      </c>
      <c r="F186">
        <v>1500</v>
      </c>
      <c r="G186">
        <v>1</v>
      </c>
      <c r="H186">
        <v>700</v>
      </c>
      <c r="I186">
        <f>Raw_Data!$F186-Raw_Data!$H186</f>
        <v>800</v>
      </c>
      <c r="J186">
        <f>Raw_Data!$I186/Raw_Data!$F186</f>
        <v>0.53333333333333333</v>
      </c>
    </row>
    <row r="187" spans="1:10" x14ac:dyDescent="0.3">
      <c r="A187">
        <v>1006</v>
      </c>
      <c r="B187" s="1">
        <v>45667</v>
      </c>
      <c r="C187" t="s">
        <v>13</v>
      </c>
      <c r="D187" t="s">
        <v>20</v>
      </c>
      <c r="E187" t="s">
        <v>21</v>
      </c>
      <c r="F187">
        <v>900</v>
      </c>
      <c r="G187">
        <v>3</v>
      </c>
      <c r="H187">
        <v>700</v>
      </c>
      <c r="I187">
        <f>Raw_Data!$F187-Raw_Data!$H187</f>
        <v>200</v>
      </c>
      <c r="J187">
        <f>Raw_Data!$I187/Raw_Data!$F187</f>
        <v>0.22222222222222221</v>
      </c>
    </row>
    <row r="188" spans="1:10" x14ac:dyDescent="0.3">
      <c r="A188">
        <v>1007</v>
      </c>
      <c r="B188" s="1">
        <v>45669</v>
      </c>
      <c r="C188" t="s">
        <v>15</v>
      </c>
      <c r="D188" t="s">
        <v>22</v>
      </c>
      <c r="E188" t="s">
        <v>21</v>
      </c>
      <c r="F188">
        <v>350</v>
      </c>
      <c r="G188">
        <v>7</v>
      </c>
      <c r="H188">
        <v>700</v>
      </c>
      <c r="I188">
        <f>Raw_Data!$F188-Raw_Data!$H188</f>
        <v>-350</v>
      </c>
      <c r="J188">
        <f>Raw_Data!$I188/Raw_Data!$F188</f>
        <v>-1</v>
      </c>
    </row>
    <row r="189" spans="1:10" x14ac:dyDescent="0.3">
      <c r="A189">
        <v>1008</v>
      </c>
      <c r="B189" s="1">
        <v>45672</v>
      </c>
      <c r="C189" t="s">
        <v>17</v>
      </c>
      <c r="D189" t="s">
        <v>23</v>
      </c>
      <c r="E189" t="s">
        <v>21</v>
      </c>
      <c r="F189">
        <v>500</v>
      </c>
      <c r="G189">
        <v>4</v>
      </c>
      <c r="H189">
        <v>700</v>
      </c>
      <c r="I189">
        <f>Raw_Data!$F189-Raw_Data!$H189</f>
        <v>-200</v>
      </c>
      <c r="J189">
        <f>Raw_Data!$I189/Raw_Data!$F189</f>
        <v>-0.4</v>
      </c>
    </row>
    <row r="190" spans="1:10" x14ac:dyDescent="0.3">
      <c r="A190">
        <v>1009</v>
      </c>
      <c r="B190" s="1">
        <v>45675</v>
      </c>
      <c r="C190" t="s">
        <v>10</v>
      </c>
      <c r="D190" t="s">
        <v>24</v>
      </c>
      <c r="E190" t="s">
        <v>12</v>
      </c>
      <c r="F190">
        <v>950</v>
      </c>
      <c r="G190">
        <v>2</v>
      </c>
      <c r="H190">
        <v>700</v>
      </c>
      <c r="I190">
        <f>Raw_Data!$F190-Raw_Data!$H190</f>
        <v>250</v>
      </c>
      <c r="J190">
        <f>Raw_Data!$I190/Raw_Data!$F190</f>
        <v>0.26315789473684209</v>
      </c>
    </row>
    <row r="191" spans="1:10" x14ac:dyDescent="0.3">
      <c r="A191">
        <v>1010</v>
      </c>
      <c r="B191" s="1">
        <v>45677</v>
      </c>
      <c r="C191" t="s">
        <v>13</v>
      </c>
      <c r="D191" t="s">
        <v>25</v>
      </c>
      <c r="E191" t="s">
        <v>12</v>
      </c>
      <c r="F191">
        <v>1100</v>
      </c>
      <c r="G191">
        <v>2</v>
      </c>
      <c r="H191">
        <v>700</v>
      </c>
      <c r="I191">
        <f>Raw_Data!$F191-Raw_Data!$H191</f>
        <v>400</v>
      </c>
      <c r="J191">
        <f>Raw_Data!$I191/Raw_Data!$F191</f>
        <v>0.36363636363636365</v>
      </c>
    </row>
    <row r="192" spans="1:10" x14ac:dyDescent="0.3">
      <c r="A192">
        <v>1001</v>
      </c>
      <c r="B192" s="1">
        <v>45658</v>
      </c>
      <c r="C192" t="s">
        <v>10</v>
      </c>
      <c r="D192" t="s">
        <v>11</v>
      </c>
      <c r="E192" t="s">
        <v>12</v>
      </c>
      <c r="F192">
        <v>1200</v>
      </c>
      <c r="G192">
        <v>2</v>
      </c>
      <c r="H192">
        <v>700</v>
      </c>
      <c r="I192">
        <f>Raw_Data!$F192-Raw_Data!$H192</f>
        <v>500</v>
      </c>
      <c r="J192">
        <f>Raw_Data!$I192/Raw_Data!$F192</f>
        <v>0.41666666666666669</v>
      </c>
    </row>
    <row r="193" spans="1:10" x14ac:dyDescent="0.3">
      <c r="A193">
        <v>1002</v>
      </c>
      <c r="B193" s="1">
        <v>45659</v>
      </c>
      <c r="C193" t="s">
        <v>13</v>
      </c>
      <c r="D193" t="s">
        <v>14</v>
      </c>
      <c r="E193" t="s">
        <v>12</v>
      </c>
      <c r="F193">
        <v>200</v>
      </c>
      <c r="G193">
        <v>5</v>
      </c>
      <c r="H193">
        <v>700</v>
      </c>
      <c r="I193">
        <f>Raw_Data!$F193-Raw_Data!$H193</f>
        <v>-500</v>
      </c>
      <c r="J193">
        <f>Raw_Data!$I193/Raw_Data!$F193</f>
        <v>-2.5</v>
      </c>
    </row>
    <row r="194" spans="1:10" x14ac:dyDescent="0.3">
      <c r="A194">
        <v>1003</v>
      </c>
      <c r="B194" s="1">
        <v>45660</v>
      </c>
      <c r="C194" t="s">
        <v>15</v>
      </c>
      <c r="D194" t="s">
        <v>16</v>
      </c>
      <c r="E194" t="s">
        <v>12</v>
      </c>
      <c r="F194">
        <v>450</v>
      </c>
      <c r="G194">
        <v>3</v>
      </c>
      <c r="H194">
        <v>700</v>
      </c>
      <c r="I194">
        <f>Raw_Data!$F194-Raw_Data!$H194</f>
        <v>-250</v>
      </c>
      <c r="J194">
        <f>Raw_Data!$I194/Raw_Data!$F194</f>
        <v>-0.55555555555555558</v>
      </c>
    </row>
    <row r="195" spans="1:10" x14ac:dyDescent="0.3">
      <c r="A195">
        <v>1004</v>
      </c>
      <c r="B195" s="1">
        <v>45662</v>
      </c>
      <c r="C195" t="s">
        <v>17</v>
      </c>
      <c r="D195" t="s">
        <v>18</v>
      </c>
      <c r="E195" t="s">
        <v>12</v>
      </c>
      <c r="F195">
        <v>800</v>
      </c>
      <c r="G195">
        <v>2</v>
      </c>
      <c r="H195">
        <v>700</v>
      </c>
      <c r="I195">
        <f>Raw_Data!$F195-Raw_Data!$H195</f>
        <v>100</v>
      </c>
      <c r="J195">
        <f>Raw_Data!$I195/Raw_Data!$F195</f>
        <v>0.125</v>
      </c>
    </row>
    <row r="196" spans="1:10" x14ac:dyDescent="0.3">
      <c r="A196">
        <v>1005</v>
      </c>
      <c r="B196" s="1">
        <v>45665</v>
      </c>
      <c r="C196" t="s">
        <v>10</v>
      </c>
      <c r="D196" t="s">
        <v>19</v>
      </c>
      <c r="E196" t="s">
        <v>12</v>
      </c>
      <c r="F196">
        <v>1500</v>
      </c>
      <c r="G196">
        <v>1</v>
      </c>
      <c r="H196">
        <v>700</v>
      </c>
      <c r="I196">
        <f>Raw_Data!$F196-Raw_Data!$H196</f>
        <v>800</v>
      </c>
      <c r="J196">
        <f>Raw_Data!$I196/Raw_Data!$F196</f>
        <v>0.53333333333333333</v>
      </c>
    </row>
    <row r="197" spans="1:10" x14ac:dyDescent="0.3">
      <c r="A197">
        <v>1006</v>
      </c>
      <c r="B197" s="1">
        <v>45667</v>
      </c>
      <c r="C197" t="s">
        <v>13</v>
      </c>
      <c r="D197" t="s">
        <v>20</v>
      </c>
      <c r="E197" t="s">
        <v>21</v>
      </c>
      <c r="F197">
        <v>900</v>
      </c>
      <c r="G197">
        <v>3</v>
      </c>
      <c r="H197">
        <v>700</v>
      </c>
      <c r="I197">
        <f>Raw_Data!$F197-Raw_Data!$H197</f>
        <v>200</v>
      </c>
      <c r="J197">
        <f>Raw_Data!$I197/Raw_Data!$F197</f>
        <v>0.22222222222222221</v>
      </c>
    </row>
    <row r="198" spans="1:10" x14ac:dyDescent="0.3">
      <c r="A198">
        <v>1007</v>
      </c>
      <c r="B198" s="1">
        <v>45669</v>
      </c>
      <c r="C198" t="s">
        <v>15</v>
      </c>
      <c r="D198" t="s">
        <v>22</v>
      </c>
      <c r="E198" t="s">
        <v>21</v>
      </c>
      <c r="F198">
        <v>350</v>
      </c>
      <c r="G198">
        <v>7</v>
      </c>
      <c r="H198">
        <v>700</v>
      </c>
      <c r="I198">
        <f>Raw_Data!$F198-Raw_Data!$H198</f>
        <v>-350</v>
      </c>
      <c r="J198">
        <f>Raw_Data!$I198/Raw_Data!$F198</f>
        <v>-1</v>
      </c>
    </row>
    <row r="199" spans="1:10" x14ac:dyDescent="0.3">
      <c r="A199">
        <v>1008</v>
      </c>
      <c r="B199" s="1">
        <v>45672</v>
      </c>
      <c r="C199" t="s">
        <v>17</v>
      </c>
      <c r="D199" t="s">
        <v>23</v>
      </c>
      <c r="E199" t="s">
        <v>21</v>
      </c>
      <c r="F199">
        <v>500</v>
      </c>
      <c r="G199">
        <v>4</v>
      </c>
      <c r="H199">
        <v>700</v>
      </c>
      <c r="I199">
        <f>Raw_Data!$F199-Raw_Data!$H199</f>
        <v>-200</v>
      </c>
      <c r="J199">
        <f>Raw_Data!$I199/Raw_Data!$F199</f>
        <v>-0.4</v>
      </c>
    </row>
    <row r="200" spans="1:10" x14ac:dyDescent="0.3">
      <c r="A200">
        <v>1009</v>
      </c>
      <c r="B200" s="1">
        <v>45675</v>
      </c>
      <c r="C200" t="s">
        <v>10</v>
      </c>
      <c r="D200" t="s">
        <v>24</v>
      </c>
      <c r="E200" t="s">
        <v>12</v>
      </c>
      <c r="F200">
        <v>950</v>
      </c>
      <c r="G200">
        <v>2</v>
      </c>
      <c r="H200">
        <v>700</v>
      </c>
      <c r="I200">
        <f>Raw_Data!$F200-Raw_Data!$H200</f>
        <v>250</v>
      </c>
      <c r="J200">
        <f>Raw_Data!$I200/Raw_Data!$F200</f>
        <v>0.26315789473684209</v>
      </c>
    </row>
    <row r="201" spans="1:10" x14ac:dyDescent="0.3">
      <c r="A201">
        <v>1010</v>
      </c>
      <c r="B201" s="1">
        <v>45677</v>
      </c>
      <c r="C201" t="s">
        <v>13</v>
      </c>
      <c r="D201" t="s">
        <v>25</v>
      </c>
      <c r="E201" t="s">
        <v>12</v>
      </c>
      <c r="F201">
        <v>1100</v>
      </c>
      <c r="G201">
        <v>2</v>
      </c>
      <c r="H201">
        <v>700</v>
      </c>
      <c r="I201">
        <f>Raw_Data!$F201-Raw_Data!$H201</f>
        <v>400</v>
      </c>
      <c r="J201">
        <f>Raw_Data!$I201/Raw_Data!$F201</f>
        <v>0.36363636363636365</v>
      </c>
    </row>
  </sheetData>
  <conditionalFormatting sqref="I1:I1048576">
    <cfRule type="cellIs" dxfId="0" priority="1" stopIfTrue="1" operator="lessThan">
      <formula>0</formula>
    </cfRule>
  </conditionalFormatting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2480-45AD-4E21-B85B-9178C9516910}">
  <dimension ref="A1:K12"/>
  <sheetViews>
    <sheetView workbookViewId="0"/>
  </sheetViews>
  <sheetFormatPr defaultRowHeight="14.4" x14ac:dyDescent="0.3"/>
  <cols>
    <col min="1" max="1" width="12.44140625" bestFit="1" customWidth="1"/>
    <col min="2" max="3" width="11.21875" bestFit="1" customWidth="1"/>
    <col min="4" max="9" width="8.88671875" customWidth="1"/>
    <col min="10" max="10" width="12.44140625" bestFit="1" customWidth="1"/>
    <col min="11" max="11" width="13.6640625" customWidth="1"/>
    <col min="12" max="12" width="11.5546875" customWidth="1"/>
    <col min="13" max="13" width="8.88671875" customWidth="1"/>
  </cols>
  <sheetData>
    <row r="1" spans="1:11" x14ac:dyDescent="0.3">
      <c r="A1" s="2" t="s">
        <v>26</v>
      </c>
      <c r="B1" s="3" t="s">
        <v>27</v>
      </c>
      <c r="J1" s="2" t="s">
        <v>26</v>
      </c>
      <c r="K1" s="3" t="s">
        <v>27</v>
      </c>
    </row>
    <row r="2" spans="1:11" x14ac:dyDescent="0.3">
      <c r="A2" s="4" t="s">
        <v>22</v>
      </c>
      <c r="B2" s="3">
        <v>7000</v>
      </c>
      <c r="J2" s="4" t="s">
        <v>20</v>
      </c>
      <c r="K2" s="3">
        <v>18000</v>
      </c>
    </row>
    <row r="3" spans="1:11" x14ac:dyDescent="0.3">
      <c r="A3" s="5" t="s">
        <v>20</v>
      </c>
      <c r="B3" s="6">
        <v>18000</v>
      </c>
      <c r="J3" s="5" t="s">
        <v>11</v>
      </c>
      <c r="K3" s="6">
        <v>24000</v>
      </c>
    </row>
    <row r="4" spans="1:11" x14ac:dyDescent="0.3">
      <c r="A4" s="5" t="s">
        <v>16</v>
      </c>
      <c r="B4" s="6">
        <v>9000</v>
      </c>
      <c r="J4" s="5" t="s">
        <v>24</v>
      </c>
      <c r="K4" s="6">
        <v>19000</v>
      </c>
    </row>
    <row r="5" spans="1:11" x14ac:dyDescent="0.3">
      <c r="A5" s="5" t="s">
        <v>11</v>
      </c>
      <c r="B5" s="6">
        <v>24000</v>
      </c>
      <c r="J5" s="5" t="s">
        <v>19</v>
      </c>
      <c r="K5" s="6">
        <v>30000</v>
      </c>
    </row>
    <row r="6" spans="1:11" x14ac:dyDescent="0.3">
      <c r="A6" s="5" t="s">
        <v>18</v>
      </c>
      <c r="B6" s="6">
        <v>16000</v>
      </c>
      <c r="J6" s="5" t="s">
        <v>25</v>
      </c>
      <c r="K6" s="6">
        <v>22000</v>
      </c>
    </row>
    <row r="7" spans="1:11" x14ac:dyDescent="0.3">
      <c r="A7" s="5" t="s">
        <v>14</v>
      </c>
      <c r="B7" s="6">
        <v>4000</v>
      </c>
      <c r="J7" s="7" t="s">
        <v>28</v>
      </c>
      <c r="K7" s="8">
        <v>113000</v>
      </c>
    </row>
    <row r="8" spans="1:11" x14ac:dyDescent="0.3">
      <c r="A8" s="5" t="s">
        <v>24</v>
      </c>
      <c r="B8" s="6">
        <v>19000</v>
      </c>
    </row>
    <row r="9" spans="1:11" x14ac:dyDescent="0.3">
      <c r="A9" s="5" t="s">
        <v>19</v>
      </c>
      <c r="B9" s="6">
        <v>30000</v>
      </c>
    </row>
    <row r="10" spans="1:11" x14ac:dyDescent="0.3">
      <c r="A10" s="5" t="s">
        <v>23</v>
      </c>
      <c r="B10" s="6">
        <v>10000</v>
      </c>
    </row>
    <row r="11" spans="1:11" x14ac:dyDescent="0.3">
      <c r="A11" s="5" t="s">
        <v>25</v>
      </c>
      <c r="B11" s="6">
        <v>22000</v>
      </c>
    </row>
    <row r="12" spans="1:11" x14ac:dyDescent="0.3">
      <c r="A12" s="7" t="s">
        <v>28</v>
      </c>
      <c r="B12" s="8">
        <v>159000</v>
      </c>
    </row>
  </sheetData>
  <pageMargins left="0.70000000000000007" right="0.70000000000000007" top="0.75" bottom="0.75" header="0.30000000000000004" footer="0.30000000000000004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4196-CB82-4AF2-B167-1B4C387659BA}">
  <dimension ref="A1:E22"/>
  <sheetViews>
    <sheetView workbookViewId="0"/>
  </sheetViews>
  <sheetFormatPr defaultRowHeight="14.4" x14ac:dyDescent="0.3"/>
  <cols>
    <col min="1" max="1" width="12.44140625" bestFit="1" customWidth="1"/>
    <col min="2" max="2" width="11.21875" bestFit="1" customWidth="1"/>
    <col min="3" max="3" width="8.88671875" customWidth="1"/>
    <col min="4" max="4" width="12.44140625" bestFit="1" customWidth="1"/>
    <col min="5" max="6" width="11.6640625" bestFit="1" customWidth="1"/>
    <col min="7" max="8" width="8.88671875" customWidth="1"/>
    <col min="9" max="9" width="12.44140625" bestFit="1" customWidth="1"/>
    <col min="10" max="10" width="11.6640625" bestFit="1" customWidth="1"/>
    <col min="11" max="11" width="8.88671875" customWidth="1"/>
  </cols>
  <sheetData>
    <row r="1" spans="1:5" x14ac:dyDescent="0.3">
      <c r="A1" s="9" t="s">
        <v>29</v>
      </c>
      <c r="D1" s="10" t="s">
        <v>30</v>
      </c>
    </row>
    <row r="3" spans="1:5" x14ac:dyDescent="0.3">
      <c r="A3" s="2" t="s">
        <v>26</v>
      </c>
      <c r="B3" s="3" t="s">
        <v>27</v>
      </c>
      <c r="D3" s="11" t="s">
        <v>26</v>
      </c>
      <c r="E3" s="11" t="s">
        <v>31</v>
      </c>
    </row>
    <row r="4" spans="1:5" x14ac:dyDescent="0.3">
      <c r="A4" s="4" t="s">
        <v>15</v>
      </c>
      <c r="B4" s="12">
        <v>0.10062893081761007</v>
      </c>
      <c r="D4" s="13" t="s">
        <v>22</v>
      </c>
      <c r="E4" s="11">
        <v>-6510</v>
      </c>
    </row>
    <row r="5" spans="1:5" x14ac:dyDescent="0.3">
      <c r="A5" s="5" t="s">
        <v>10</v>
      </c>
      <c r="B5" s="14">
        <v>0.45911949685534592</v>
      </c>
      <c r="D5" s="13" t="s">
        <v>20</v>
      </c>
      <c r="E5" s="11">
        <v>4100</v>
      </c>
    </row>
    <row r="6" spans="1:5" x14ac:dyDescent="0.3">
      <c r="A6" s="5" t="s">
        <v>13</v>
      </c>
      <c r="B6" s="14">
        <v>0.27672955974842767</v>
      </c>
      <c r="D6" s="13" t="s">
        <v>16</v>
      </c>
      <c r="E6" s="11">
        <v>-4600</v>
      </c>
    </row>
    <row r="7" spans="1:5" x14ac:dyDescent="0.3">
      <c r="A7" s="5" t="s">
        <v>17</v>
      </c>
      <c r="B7" s="14">
        <v>0.16352201257861634</v>
      </c>
      <c r="D7" s="13" t="s">
        <v>11</v>
      </c>
      <c r="E7" s="11">
        <v>9900</v>
      </c>
    </row>
    <row r="8" spans="1:5" x14ac:dyDescent="0.3">
      <c r="A8" s="7" t="s">
        <v>28</v>
      </c>
      <c r="B8" s="15">
        <v>1</v>
      </c>
      <c r="D8" s="13" t="s">
        <v>18</v>
      </c>
      <c r="E8" s="11">
        <v>2150</v>
      </c>
    </row>
    <row r="9" spans="1:5" x14ac:dyDescent="0.3">
      <c r="D9" s="13" t="s">
        <v>14</v>
      </c>
      <c r="E9" s="11">
        <v>-9420</v>
      </c>
    </row>
    <row r="10" spans="1:5" x14ac:dyDescent="0.3">
      <c r="D10" s="13" t="s">
        <v>24</v>
      </c>
      <c r="E10" s="11">
        <v>5100</v>
      </c>
    </row>
    <row r="11" spans="1:5" x14ac:dyDescent="0.3">
      <c r="D11" s="13" t="s">
        <v>19</v>
      </c>
      <c r="E11" s="11">
        <v>15700</v>
      </c>
    </row>
    <row r="12" spans="1:5" x14ac:dyDescent="0.3">
      <c r="D12" s="13" t="s">
        <v>23</v>
      </c>
      <c r="E12" s="11">
        <v>-3620</v>
      </c>
    </row>
    <row r="13" spans="1:5" x14ac:dyDescent="0.3">
      <c r="D13" s="13" t="s">
        <v>25</v>
      </c>
      <c r="E13" s="11">
        <v>8000</v>
      </c>
    </row>
    <row r="14" spans="1:5" x14ac:dyDescent="0.3">
      <c r="D14" s="13" t="s">
        <v>28</v>
      </c>
      <c r="E14" s="11">
        <v>20800</v>
      </c>
    </row>
    <row r="16" spans="1:5" x14ac:dyDescent="0.3">
      <c r="A16" s="9" t="s">
        <v>32</v>
      </c>
      <c r="B16" s="16"/>
    </row>
    <row r="17" spans="1:5" x14ac:dyDescent="0.3">
      <c r="D17" s="2" t="s">
        <v>26</v>
      </c>
      <c r="E17" s="3" t="s">
        <v>31</v>
      </c>
    </row>
    <row r="18" spans="1:5" x14ac:dyDescent="0.3">
      <c r="A18" s="11" t="s">
        <v>26</v>
      </c>
      <c r="B18" s="11" t="s">
        <v>27</v>
      </c>
      <c r="D18" s="4" t="s">
        <v>15</v>
      </c>
      <c r="E18" s="3">
        <v>-11110</v>
      </c>
    </row>
    <row r="19" spans="1:5" x14ac:dyDescent="0.3">
      <c r="A19" s="13" t="s">
        <v>33</v>
      </c>
      <c r="B19" s="11">
        <v>159000</v>
      </c>
      <c r="D19" s="5" t="s">
        <v>10</v>
      </c>
      <c r="E19" s="6">
        <v>30700</v>
      </c>
    </row>
    <row r="20" spans="1:5" x14ac:dyDescent="0.3">
      <c r="A20" s="13" t="s">
        <v>28</v>
      </c>
      <c r="B20" s="11">
        <v>159000</v>
      </c>
      <c r="D20" s="5" t="s">
        <v>13</v>
      </c>
      <c r="E20" s="6">
        <v>2680</v>
      </c>
    </row>
    <row r="21" spans="1:5" x14ac:dyDescent="0.3">
      <c r="D21" s="5" t="s">
        <v>17</v>
      </c>
      <c r="E21" s="6">
        <v>-1470</v>
      </c>
    </row>
    <row r="22" spans="1:5" x14ac:dyDescent="0.3">
      <c r="D22" s="7" t="s">
        <v>28</v>
      </c>
      <c r="E22" s="8">
        <v>20800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950A-E4CB-456C-A2DD-89FB31301A82}">
  <dimension ref="A1:B3"/>
  <sheetViews>
    <sheetView workbookViewId="0"/>
  </sheetViews>
  <sheetFormatPr defaultRowHeight="14.4" x14ac:dyDescent="0.3"/>
  <cols>
    <col min="1" max="1" width="18.88671875" bestFit="1" customWidth="1"/>
    <col min="2" max="2" width="8.88671875" customWidth="1"/>
  </cols>
  <sheetData>
    <row r="1" spans="1:2" x14ac:dyDescent="0.3">
      <c r="A1" t="s">
        <v>34</v>
      </c>
      <c r="B1">
        <f>SUM(Raw_Data!$F$2:$F$201)</f>
        <v>159000</v>
      </c>
    </row>
    <row r="2" spans="1:2" x14ac:dyDescent="0.3">
      <c r="A2" t="s">
        <v>35</v>
      </c>
      <c r="B2">
        <f>SUM(Raw_Data!$I$2:$I$201)</f>
        <v>20800</v>
      </c>
    </row>
    <row r="3" spans="1:2" x14ac:dyDescent="0.3">
      <c r="A3" t="s">
        <v>36</v>
      </c>
      <c r="B3">
        <f>AVERAGE(Raw_Data!$J$2:$J$201)</f>
        <v>-0.22280675837320574</v>
      </c>
    </row>
  </sheetData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A29D-F694-42F0-B4DA-D8F5DAC03570}">
  <dimension ref="A1:M24"/>
  <sheetViews>
    <sheetView workbookViewId="0"/>
  </sheetViews>
  <sheetFormatPr defaultRowHeight="14.4" x14ac:dyDescent="0.3"/>
  <cols>
    <col min="1" max="1" width="16.21875" customWidth="1"/>
    <col min="2" max="2" width="11.21875" bestFit="1" customWidth="1"/>
    <col min="3" max="3" width="8.88671875" customWidth="1"/>
    <col min="4" max="4" width="17" bestFit="1" customWidth="1"/>
    <col min="5" max="5" width="14.21875" bestFit="1" customWidth="1"/>
    <col min="6" max="9" width="8.88671875" customWidth="1"/>
    <col min="10" max="10" width="25.33203125" customWidth="1"/>
    <col min="11" max="11" width="13.44140625" customWidth="1"/>
    <col min="12" max="12" width="8.88671875" customWidth="1"/>
  </cols>
  <sheetData>
    <row r="1" spans="1:7" ht="36.6" x14ac:dyDescent="0.7">
      <c r="A1" s="17" t="s">
        <v>37</v>
      </c>
      <c r="B1" s="18"/>
      <c r="C1" s="18"/>
      <c r="D1" s="18"/>
      <c r="E1" s="18"/>
      <c r="F1" s="18"/>
      <c r="G1" s="19"/>
    </row>
    <row r="2" spans="1:7" ht="24.6" x14ac:dyDescent="0.4">
      <c r="D2" s="20" t="s">
        <v>38</v>
      </c>
      <c r="E2" s="20"/>
      <c r="F2" s="21"/>
      <c r="G2" s="22"/>
    </row>
    <row r="3" spans="1:7" ht="21" x14ac:dyDescent="0.4">
      <c r="A3" s="16" t="s">
        <v>34</v>
      </c>
      <c r="B3" s="23">
        <f>Calculations!B1</f>
        <v>159000</v>
      </c>
      <c r="D3" s="2" t="s">
        <v>26</v>
      </c>
      <c r="E3" s="3" t="s">
        <v>27</v>
      </c>
    </row>
    <row r="4" spans="1:7" ht="21" x14ac:dyDescent="0.4">
      <c r="A4" s="16" t="s">
        <v>35</v>
      </c>
      <c r="B4" s="23">
        <f>Calculations!B2</f>
        <v>20800</v>
      </c>
      <c r="D4" s="4" t="s">
        <v>15</v>
      </c>
      <c r="E4" s="12">
        <v>0.10062893081761007</v>
      </c>
    </row>
    <row r="5" spans="1:7" ht="21" x14ac:dyDescent="0.4">
      <c r="A5" s="16" t="s">
        <v>39</v>
      </c>
      <c r="B5" s="23">
        <f>Calculations!B3</f>
        <v>-0.22280675837320574</v>
      </c>
      <c r="D5" s="5" t="s">
        <v>10</v>
      </c>
      <c r="E5" s="14">
        <v>0.45911949685534592</v>
      </c>
    </row>
    <row r="6" spans="1:7" x14ac:dyDescent="0.3">
      <c r="D6" s="5" t="s">
        <v>13</v>
      </c>
      <c r="E6" s="14">
        <v>0.27672955974842767</v>
      </c>
    </row>
    <row r="7" spans="1:7" x14ac:dyDescent="0.3">
      <c r="D7" s="5" t="s">
        <v>17</v>
      </c>
      <c r="E7" s="14">
        <v>0.16352201257861634</v>
      </c>
    </row>
    <row r="8" spans="1:7" x14ac:dyDescent="0.3">
      <c r="D8" s="7" t="s">
        <v>28</v>
      </c>
      <c r="E8" s="15">
        <v>1</v>
      </c>
    </row>
    <row r="22" spans="10:13" ht="15.6" x14ac:dyDescent="0.3">
      <c r="M22" s="22"/>
    </row>
    <row r="24" spans="10:13" ht="15.6" x14ac:dyDescent="0.3">
      <c r="J24" s="22" t="s">
        <v>40</v>
      </c>
      <c r="K24" s="22">
        <f>Pivot_Analysis!B5</f>
        <v>0.45911949685534592</v>
      </c>
    </row>
  </sheetData>
  <pageMargins left="0.70000000000000007" right="0.70000000000000007" top="0.75" bottom="0.75" header="0.30000000000000004" footer="0.30000000000000004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9797-A0A0-46DC-9D02-56459D475278}">
  <dimension ref="A1"/>
  <sheetViews>
    <sheetView workbookViewId="0"/>
  </sheetViews>
  <sheetFormatPr defaultRowHeight="14.4" x14ac:dyDescent="0.3"/>
  <cols>
    <col min="1" max="1" width="8.88671875" customWidth="1"/>
  </cols>
  <sheetData/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Top_Analysis</vt:lpstr>
      <vt:lpstr>Pivot_Analysis</vt:lpstr>
      <vt:lpstr>Calculations</vt:lpstr>
      <vt:lpstr>Dashboard</vt:lpstr>
      <vt:lpstr>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Khanna</dc:creator>
  <cp:lastModifiedBy>Arjun Khanna</cp:lastModifiedBy>
  <dcterms:created xsi:type="dcterms:W3CDTF">2026-02-13T13:54:04Z</dcterms:created>
  <dcterms:modified xsi:type="dcterms:W3CDTF">2026-02-13T19:54:31Z</dcterms:modified>
</cp:coreProperties>
</file>